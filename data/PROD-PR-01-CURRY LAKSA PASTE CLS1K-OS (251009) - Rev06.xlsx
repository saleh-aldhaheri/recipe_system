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y Drive\FORM - PRODUCTION\IN REVIEW\Dollee\CURRY LAKSA PASTE\"/>
    </mc:Choice>
  </mc:AlternateContent>
  <xr:revisionPtr revIDLastSave="0" documentId="13_ncr:1_{1B84F564-FE12-4690-AFE9-A4D3C5AE03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S1K-OSDL" sheetId="1" r:id="rId1"/>
    <sheet name="CLS200DL" sheetId="4" r:id="rId2"/>
    <sheet name="Sheet2" sheetId="2" r:id="rId3"/>
    <sheet name="Sheet3" sheetId="3" r:id="rId4"/>
  </sheets>
  <externalReferences>
    <externalReference r:id="rId5"/>
  </externalReferences>
  <definedNames>
    <definedName name="_xlnm.Print_Area" localSheetId="0">'CLS1K-OSDL'!$A$1:$X$45</definedName>
    <definedName name="_xlnm.Print_Area" localSheetId="1">CLS200DL!$A$1:$W$45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FIZuflxNtulNSSBrh58ZeNRn1YTpbFeTWMULMqJQSas="/>
    </ext>
  </extLst>
</workbook>
</file>

<file path=xl/calcChain.xml><?xml version="1.0" encoding="utf-8"?>
<calcChain xmlns="http://schemas.openxmlformats.org/spreadsheetml/2006/main">
  <c r="N15" i="4" l="1"/>
  <c r="O15" i="1"/>
  <c r="E14" i="4"/>
  <c r="E14" i="1"/>
  <c r="N19" i="4" l="1"/>
  <c r="E17" i="4"/>
  <c r="E18" i="4"/>
  <c r="E17" i="1"/>
  <c r="E18" i="1"/>
  <c r="O19" i="1" l="1"/>
  <c r="N16" i="4"/>
  <c r="O16" i="1"/>
  <c r="N18" i="4"/>
  <c r="N17" i="4"/>
  <c r="E16" i="4"/>
  <c r="E15" i="4"/>
  <c r="N14" i="4"/>
  <c r="N13" i="4"/>
  <c r="E13" i="4"/>
  <c r="N12" i="4"/>
  <c r="E12" i="4"/>
  <c r="N11" i="4"/>
  <c r="E11" i="4"/>
  <c r="N10" i="4"/>
  <c r="E10" i="4"/>
  <c r="F6" i="4"/>
  <c r="C6" i="4"/>
  <c r="J5" i="4" l="1"/>
  <c r="U10" i="4" s="1"/>
  <c r="O17" i="1"/>
  <c r="O13" i="1"/>
  <c r="E16" i="1"/>
  <c r="E12" i="1"/>
  <c r="O14" i="1"/>
  <c r="O12" i="1"/>
  <c r="O11" i="1"/>
  <c r="E15" i="1"/>
  <c r="E13" i="1"/>
  <c r="E11" i="1"/>
  <c r="E10" i="1"/>
  <c r="O18" i="1"/>
  <c r="R13" i="4" l="1"/>
  <c r="R16" i="4"/>
  <c r="R12" i="4"/>
  <c r="I10" i="4"/>
  <c r="I15" i="4"/>
  <c r="R18" i="4"/>
  <c r="I17" i="4"/>
  <c r="R14" i="4"/>
  <c r="R19" i="4"/>
  <c r="R11" i="4"/>
  <c r="I18" i="4"/>
  <c r="R17" i="4"/>
  <c r="I14" i="4"/>
  <c r="R10" i="4"/>
  <c r="I11" i="4"/>
  <c r="I13" i="4"/>
  <c r="I16" i="4"/>
  <c r="I12" i="4"/>
  <c r="R15" i="4"/>
  <c r="R20" i="4" l="1"/>
  <c r="O10" i="1"/>
  <c r="J5" i="1" s="1"/>
  <c r="I17" i="1" s="1"/>
  <c r="R21" i="3"/>
  <c r="I21" i="3"/>
  <c r="M21" i="3" s="1"/>
  <c r="R20" i="3"/>
  <c r="I20" i="3"/>
  <c r="M20" i="3" s="1"/>
  <c r="R19" i="3"/>
  <c r="I19" i="3"/>
  <c r="M19" i="3" s="1"/>
  <c r="R18" i="3"/>
  <c r="M18" i="3"/>
  <c r="I18" i="3"/>
  <c r="R17" i="3"/>
  <c r="I17" i="3"/>
  <c r="M17" i="3" s="1"/>
  <c r="R16" i="3"/>
  <c r="I16" i="3"/>
  <c r="M16" i="3" s="1"/>
  <c r="C6" i="1"/>
  <c r="S18" i="1" l="1"/>
  <c r="I12" i="1"/>
  <c r="I13" i="1"/>
  <c r="V10" i="1"/>
  <c r="I15" i="1"/>
  <c r="I14" i="1"/>
  <c r="S15" i="1"/>
  <c r="S14" i="1"/>
  <c r="I18" i="1"/>
  <c r="S19" i="1"/>
  <c r="S17" i="1"/>
  <c r="S16" i="1"/>
  <c r="I11" i="1"/>
  <c r="S13" i="1"/>
  <c r="S12" i="1"/>
  <c r="S11" i="1"/>
  <c r="I16" i="1"/>
  <c r="F6" i="1"/>
  <c r="L25" i="2" l="1"/>
  <c r="L24" i="2"/>
  <c r="L23" i="2"/>
  <c r="L22" i="2"/>
  <c r="L21" i="2"/>
  <c r="L20" i="2"/>
  <c r="L19" i="2"/>
  <c r="L18" i="2"/>
  <c r="L17" i="2"/>
  <c r="L16" i="2"/>
  <c r="I10" i="1" l="1"/>
  <c r="S10" i="1"/>
  <c r="S21" i="1" l="1"/>
</calcChain>
</file>

<file path=xl/sharedStrings.xml><?xml version="1.0" encoding="utf-8"?>
<sst xmlns="http://schemas.openxmlformats.org/spreadsheetml/2006/main" count="492" uniqueCount="238">
  <si>
    <t>CAF FOOD PRODUCTS SDN BHD</t>
  </si>
  <si>
    <t>PASTE PRODUCTION RECORD</t>
  </si>
  <si>
    <t>DATE:</t>
  </si>
  <si>
    <t>COOKER:</t>
  </si>
  <si>
    <t>PRODUCT:</t>
  </si>
  <si>
    <t>Ʃ RAW MATERIAL:</t>
  </si>
  <si>
    <t>kg</t>
  </si>
  <si>
    <t>PIC :</t>
  </si>
  <si>
    <t>CHECKED BY:</t>
  </si>
  <si>
    <t>BATCH NO:</t>
  </si>
  <si>
    <t>SIZE:</t>
  </si>
  <si>
    <t>ASSISTED BY:</t>
  </si>
  <si>
    <t>INGREDIENTS:</t>
  </si>
  <si>
    <t>NO.</t>
  </si>
  <si>
    <t>ITEM</t>
  </si>
  <si>
    <t>BATCH NUMBER</t>
  </si>
  <si>
    <t>Qty</t>
  </si>
  <si>
    <t>UNIT</t>
  </si>
  <si>
    <t>APPROVED BY</t>
  </si>
  <si>
    <t>For Packet Machine use only</t>
  </si>
  <si>
    <t>1.</t>
  </si>
  <si>
    <t>KG</t>
  </si>
  <si>
    <t>9.</t>
  </si>
  <si>
    <t>G</t>
  </si>
  <si>
    <t>10.</t>
  </si>
  <si>
    <t>Est Output:</t>
  </si>
  <si>
    <t>3.</t>
  </si>
  <si>
    <t>ON</t>
  </si>
  <si>
    <t>Act output:</t>
  </si>
  <si>
    <t>PKT</t>
  </si>
  <si>
    <t>4.</t>
  </si>
  <si>
    <t>PIC:</t>
  </si>
  <si>
    <t>5.</t>
  </si>
  <si>
    <t>Verified:</t>
  </si>
  <si>
    <t>6.</t>
  </si>
  <si>
    <t>7.</t>
  </si>
  <si>
    <t xml:space="preserve">8. </t>
  </si>
  <si>
    <t>PROCEDURE:</t>
  </si>
  <si>
    <t>Monitoring :</t>
  </si>
  <si>
    <t>PROCESS</t>
  </si>
  <si>
    <t>(√) ONCE DONE</t>
  </si>
  <si>
    <t>TIME</t>
  </si>
  <si>
    <t>TEMP (°C)</t>
  </si>
  <si>
    <t>VERIFY BY</t>
  </si>
  <si>
    <t>VM
(dPa)</t>
  </si>
  <si>
    <t>BRIX
(°bx)</t>
  </si>
  <si>
    <t>SALINITY
(%)</t>
  </si>
  <si>
    <t>REMARKS</t>
  </si>
  <si>
    <t>Suggested</t>
  </si>
  <si>
    <t>PLAN</t>
  </si>
  <si>
    <t>ACTUAL</t>
  </si>
  <si>
    <t>IN</t>
  </si>
  <si>
    <t>A</t>
  </si>
  <si>
    <t>B</t>
  </si>
  <si>
    <t>±2.5H</t>
  </si>
  <si>
    <t>C</t>
  </si>
  <si>
    <t>D</t>
  </si>
  <si>
    <t>E</t>
  </si>
  <si>
    <t>F</t>
  </si>
  <si>
    <t>H</t>
  </si>
  <si>
    <t>I</t>
  </si>
  <si>
    <t>J</t>
  </si>
  <si>
    <t>Re-cook add in:</t>
  </si>
  <si>
    <t>Expiry date:</t>
  </si>
  <si>
    <t>Re-cook %:</t>
  </si>
  <si>
    <t>REMARKS:</t>
  </si>
  <si>
    <t>Approved by:</t>
  </si>
  <si>
    <t>CCP2</t>
  </si>
  <si>
    <t>CORRECTIVE ACTION</t>
  </si>
  <si>
    <t>Time:</t>
  </si>
  <si>
    <r>
      <rPr>
        <sz val="11"/>
        <color theme="1"/>
        <rFont val="Garamond"/>
        <family val="1"/>
      </rPr>
      <t>1. COOKING TEMPERATURE AT LEAST</t>
    </r>
    <r>
      <rPr>
        <b/>
        <sz val="11"/>
        <color theme="1"/>
        <rFont val="Garamond"/>
        <family val="1"/>
      </rPr>
      <t xml:space="preserve"> 80°C.</t>
    </r>
  </si>
  <si>
    <t>1. OPERATOR NEED TO INFORM SUPERVISOR WHEN</t>
  </si>
  <si>
    <t>2. HOLDING TIME AT &gt;80°c AT LEAST 1 HOUR.</t>
  </si>
  <si>
    <t>THERE IS A NON CONFORMANCE.</t>
  </si>
  <si>
    <t>For QC Use Only</t>
  </si>
  <si>
    <t>MONITORING PROCEDURE</t>
  </si>
  <si>
    <t>2. PROD SUPERVISOR NEED TO CHECK THE</t>
  </si>
  <si>
    <t>Brix:</t>
  </si>
  <si>
    <t>°bx</t>
  </si>
  <si>
    <t>Salinity:</t>
  </si>
  <si>
    <t>%</t>
  </si>
  <si>
    <t>1. READ AND RECORD TIME &amp; TEMPERATURE FROM THE</t>
  </si>
  <si>
    <t>EQUIPMENT CONDITION.</t>
  </si>
  <si>
    <t>Colour:</t>
  </si>
  <si>
    <t>Temperature:</t>
  </si>
  <si>
    <t>°C</t>
  </si>
  <si>
    <t>PANEL AND IN-TEMPERATURE FROM THE THERMOMETER.</t>
  </si>
  <si>
    <t>3. IF THE PROBLEM COME FROM MACHINE, STOP THE</t>
  </si>
  <si>
    <t xml:space="preserve">Appearance: </t>
  </si>
  <si>
    <t>Viscosity:</t>
  </si>
  <si>
    <t>dPa</t>
  </si>
  <si>
    <t>FREQUENCY</t>
  </si>
  <si>
    <t>PRODUCTION AND CALL FOR SERVICE</t>
  </si>
  <si>
    <t>Packing:</t>
  </si>
  <si>
    <t>Result:</t>
  </si>
  <si>
    <t>Pass / Reject</t>
  </si>
  <si>
    <t>1. EVERY 15 MIN / ACCORDING TO THE SUGGESTED TIME.</t>
  </si>
  <si>
    <t>/MAINTENANCE TO REPAIR THE MACHINE.</t>
  </si>
  <si>
    <t>ALLERGEN</t>
  </si>
  <si>
    <t>4. REJECT THE PRODUCT IF THE CONTROLLED POINT IS NOT ACHIEVED.</t>
  </si>
  <si>
    <t xml:space="preserve">Raw Material(s):             </t>
  </si>
  <si>
    <r>
      <rPr>
        <sz val="11"/>
        <color theme="1"/>
        <rFont val="Garamond"/>
        <family val="1"/>
      </rPr>
      <t xml:space="preserve">1. INGREDIENT HIGHLIGHTED IN </t>
    </r>
    <r>
      <rPr>
        <b/>
        <sz val="12"/>
        <color theme="1"/>
        <rFont val="Garamond"/>
        <family val="1"/>
      </rPr>
      <t>BOLD</t>
    </r>
    <r>
      <rPr>
        <sz val="11"/>
        <color theme="1"/>
        <rFont val="Garamond"/>
        <family val="1"/>
      </rPr>
      <t xml:space="preserve"> IS ALLERGEN.</t>
    </r>
  </si>
  <si>
    <t>5. IF THE PRODUCT IS NOT PACKED WITHIN 15 MIN AFTER APPROVAL, PLEASE GET QC FOR RE-CHECKING.</t>
  </si>
  <si>
    <t>CAF Food Products Sdn. Bhd.</t>
  </si>
  <si>
    <t>Daily Production Schedule</t>
  </si>
  <si>
    <t>Cooking</t>
  </si>
  <si>
    <t>Cooker</t>
  </si>
  <si>
    <t>1st Round</t>
  </si>
  <si>
    <t>2nd Round</t>
  </si>
  <si>
    <t>3rd Round</t>
  </si>
  <si>
    <t>Remarks</t>
  </si>
  <si>
    <t>Product</t>
  </si>
  <si>
    <t>Size</t>
  </si>
  <si>
    <t>C1</t>
  </si>
  <si>
    <t>Kettle</t>
  </si>
  <si>
    <t>Recipes</t>
  </si>
  <si>
    <t>K1</t>
  </si>
  <si>
    <t>Batch Size:</t>
  </si>
  <si>
    <t>Fresh Raw Material Requirement :</t>
  </si>
  <si>
    <t>Batch Size</t>
  </si>
  <si>
    <t>K2</t>
  </si>
  <si>
    <t>K3</t>
  </si>
  <si>
    <t>K4</t>
  </si>
  <si>
    <t>Paste</t>
  </si>
  <si>
    <t>Onion</t>
  </si>
  <si>
    <t>Mushroom</t>
  </si>
  <si>
    <t>MSR</t>
  </si>
  <si>
    <t>Potato</t>
  </si>
  <si>
    <t>PO</t>
  </si>
  <si>
    <t>Ikan Bilis</t>
  </si>
  <si>
    <t>IB</t>
  </si>
  <si>
    <t>Sardine</t>
  </si>
  <si>
    <t>SD</t>
  </si>
  <si>
    <t>Chicken</t>
  </si>
  <si>
    <t>CHIC</t>
  </si>
  <si>
    <t>Egg</t>
  </si>
  <si>
    <t>Santan</t>
  </si>
  <si>
    <t>BCM</t>
  </si>
  <si>
    <t>Pandan</t>
  </si>
  <si>
    <t>PL</t>
  </si>
  <si>
    <t>Chicken Floss</t>
  </si>
  <si>
    <t>Frying</t>
  </si>
  <si>
    <t>Round 1</t>
  </si>
  <si>
    <t>Round 2</t>
  </si>
  <si>
    <t>Round 3</t>
  </si>
  <si>
    <t>Round 4</t>
  </si>
  <si>
    <t>Round 5</t>
  </si>
  <si>
    <t>Round 6</t>
  </si>
  <si>
    <t>Fryer A</t>
  </si>
  <si>
    <t>Fryer B</t>
  </si>
  <si>
    <t>Fryer 3</t>
  </si>
  <si>
    <t>Fryer 10</t>
  </si>
  <si>
    <t>Others</t>
  </si>
  <si>
    <t>BAKERY</t>
  </si>
  <si>
    <t>FC 350</t>
  </si>
  <si>
    <t>FC 700</t>
  </si>
  <si>
    <t>FC30</t>
  </si>
  <si>
    <t>CC</t>
  </si>
  <si>
    <t>IBG</t>
  </si>
  <si>
    <t>SULTANA</t>
  </si>
  <si>
    <t>WSS</t>
  </si>
  <si>
    <t>MJ</t>
  </si>
  <si>
    <t/>
  </si>
  <si>
    <t>Prepared By,</t>
  </si>
  <si>
    <t>Adrian</t>
  </si>
  <si>
    <t>Production Assistant</t>
  </si>
  <si>
    <t>11.</t>
  </si>
  <si>
    <t>12.</t>
  </si>
  <si>
    <t>-</t>
  </si>
  <si>
    <t>2.</t>
  </si>
  <si>
    <t>O</t>
  </si>
  <si>
    <t>W</t>
  </si>
  <si>
    <t>UDK POW</t>
  </si>
  <si>
    <t>SL</t>
  </si>
  <si>
    <t>CH POW A</t>
  </si>
  <si>
    <t>LEN</t>
  </si>
  <si>
    <t>GAR</t>
  </si>
  <si>
    <t>SER</t>
  </si>
  <si>
    <t>MSG AJI</t>
  </si>
  <si>
    <t>MST CH20</t>
  </si>
  <si>
    <t>(√) ONCE ADDED</t>
  </si>
  <si>
    <t>G (TRR)</t>
  </si>
  <si>
    <t>8.</t>
  </si>
  <si>
    <t>13.</t>
  </si>
  <si>
    <t>14.</t>
  </si>
  <si>
    <t>15.</t>
  </si>
  <si>
    <t>16.</t>
  </si>
  <si>
    <t>17.</t>
  </si>
  <si>
    <t>18.</t>
  </si>
  <si>
    <t>UDK</t>
  </si>
  <si>
    <t>TUR</t>
  </si>
  <si>
    <t>GIN</t>
  </si>
  <si>
    <t>P1</t>
  </si>
  <si>
    <t>19</t>
  </si>
  <si>
    <t>Off flame</t>
  </si>
  <si>
    <t>CURRY LAKSA PASTE - CLS1K-OS/DL</t>
  </si>
  <si>
    <t xml:space="preserve">C NUT </t>
  </si>
  <si>
    <t xml:space="preserve">CU L </t>
  </si>
  <si>
    <t xml:space="preserve">In process approval by QC </t>
  </si>
  <si>
    <r>
      <t>Next add in</t>
    </r>
    <r>
      <rPr>
        <b/>
        <sz val="16"/>
        <color rgb="FF000000"/>
        <rFont val="Garamond"/>
        <family val="1"/>
      </rPr>
      <t xml:space="preserve"> (11), (12), (13)</t>
    </r>
    <r>
      <rPr>
        <sz val="16"/>
        <color rgb="FF000000"/>
        <rFont val="Garamond"/>
        <family val="1"/>
      </rPr>
      <t xml:space="preserve"> and cook for 25 mins.</t>
    </r>
  </si>
  <si>
    <t xml:space="preserve">Vm </t>
  </si>
  <si>
    <t>Brix</t>
  </si>
  <si>
    <t xml:space="preserve">Salinity </t>
  </si>
  <si>
    <t>9.5-11.5</t>
  </si>
  <si>
    <t xml:space="preserve">Cons </t>
  </si>
  <si>
    <t>pH</t>
  </si>
  <si>
    <t>4.9-5.3</t>
  </si>
  <si>
    <t>44-48</t>
  </si>
  <si>
    <t>PKT  1KG</t>
  </si>
  <si>
    <t>G (P1)</t>
  </si>
  <si>
    <t xml:space="preserve">   -</t>
  </si>
  <si>
    <t>MST2</t>
  </si>
  <si>
    <t>CH-P(A)</t>
  </si>
  <si>
    <t>CH-P(B)</t>
  </si>
  <si>
    <t>S-P(B)</t>
  </si>
  <si>
    <t>MSG (C)</t>
  </si>
  <si>
    <t>CURRY LAKSA PASTE - CLS200-DL</t>
  </si>
  <si>
    <t>PKT  0.2KG</t>
  </si>
  <si>
    <t>O2</t>
  </si>
  <si>
    <t>0.8-1.3</t>
  </si>
  <si>
    <r>
      <t xml:space="preserve">Once T 100 </t>
    </r>
    <r>
      <rPr>
        <sz val="16"/>
        <color rgb="FF000000"/>
        <rFont val="Calibri"/>
        <family val="2"/>
      </rPr>
      <t>°C</t>
    </r>
    <r>
      <rPr>
        <sz val="16"/>
        <color rgb="FF000000"/>
        <rFont val="Garamond"/>
        <family val="1"/>
      </rPr>
      <t>, add in</t>
    </r>
    <r>
      <rPr>
        <b/>
        <sz val="16"/>
        <color rgb="FF000000"/>
        <rFont val="Garamond"/>
        <family val="1"/>
      </rPr>
      <t xml:space="preserve"> (2)</t>
    </r>
    <r>
      <rPr>
        <sz val="16"/>
        <color rgb="FF000000"/>
        <rFont val="Garamond"/>
        <family val="1"/>
      </rPr>
      <t xml:space="preserve"> and cook for 30mins</t>
    </r>
  </si>
  <si>
    <r>
      <t xml:space="preserve"> Once brix 22 add in</t>
    </r>
    <r>
      <rPr>
        <b/>
        <sz val="16"/>
        <color rgb="FF000000"/>
        <rFont val="Garamond"/>
        <family val="1"/>
      </rPr>
      <t xml:space="preserve"> (8), (9), (10)</t>
    </r>
    <r>
      <rPr>
        <sz val="16"/>
        <color rgb="FF000000"/>
        <rFont val="Garamond"/>
        <family val="1"/>
      </rPr>
      <t>. Cook for 20 mins. Flame 4. Add water 6kg</t>
    </r>
  </si>
  <si>
    <r>
      <t xml:space="preserve">Add  </t>
    </r>
    <r>
      <rPr>
        <b/>
        <sz val="16"/>
        <color rgb="FF000000"/>
        <rFont val="Garamond"/>
        <family val="1"/>
      </rPr>
      <t>(14), (15), (16), (17), (18), (19).</t>
    </r>
    <r>
      <rPr>
        <sz val="16"/>
        <color rgb="FF000000"/>
        <rFont val="Garamond"/>
        <family val="1"/>
      </rPr>
      <t xml:space="preserve">  Cook until T 95</t>
    </r>
    <r>
      <rPr>
        <sz val="16"/>
        <color rgb="FF000000"/>
        <rFont val="Calibri"/>
        <family val="2"/>
      </rPr>
      <t>°</t>
    </r>
    <r>
      <rPr>
        <sz val="12.5"/>
        <color rgb="FF000000"/>
        <rFont val="Garamond"/>
        <family val="1"/>
      </rPr>
      <t>C</t>
    </r>
    <r>
      <rPr>
        <sz val="16"/>
        <color rgb="FF000000"/>
        <rFont val="Garamond"/>
        <family val="1"/>
      </rPr>
      <t>. Add water 2kg</t>
    </r>
  </si>
  <si>
    <r>
      <t xml:space="preserve">Add </t>
    </r>
    <r>
      <rPr>
        <b/>
        <sz val="16"/>
        <color rgb="FF000000"/>
        <rFont val="Garamond"/>
        <family val="1"/>
      </rPr>
      <t>(1)</t>
    </r>
    <r>
      <rPr>
        <sz val="16"/>
        <color rgb="FF000000"/>
        <rFont val="Garamond"/>
        <family val="1"/>
      </rPr>
      <t xml:space="preserve"> into cooker. Agitator speed 80. SET T 110</t>
    </r>
    <r>
      <rPr>
        <sz val="16"/>
        <color rgb="FF000000"/>
        <rFont val="Calibri"/>
        <family val="2"/>
      </rPr>
      <t>°C</t>
    </r>
    <r>
      <rPr>
        <sz val="16"/>
        <color rgb="FF000000"/>
        <rFont val="Garamond"/>
        <family val="1"/>
      </rPr>
      <t xml:space="preserve"> and on heat. Flame 2.</t>
    </r>
  </si>
  <si>
    <r>
      <t xml:space="preserve">Next add in </t>
    </r>
    <r>
      <rPr>
        <b/>
        <sz val="16"/>
        <color rgb="FF000000"/>
        <rFont val="Garamond"/>
        <family val="1"/>
      </rPr>
      <t>(3), (4), (5), (6), (7)</t>
    </r>
    <r>
      <rPr>
        <sz val="16"/>
        <color rgb="FF000000"/>
        <rFont val="Garamond"/>
        <family val="1"/>
      </rPr>
      <t xml:space="preserve"> and cook for 50mins. SET T 110 </t>
    </r>
    <r>
      <rPr>
        <sz val="16"/>
        <color rgb="FF000000"/>
        <rFont val="Calibri"/>
        <family val="2"/>
      </rPr>
      <t>°C</t>
    </r>
  </si>
  <si>
    <r>
      <t xml:space="preserve"> Once T 95 </t>
    </r>
    <r>
      <rPr>
        <sz val="16"/>
        <color rgb="FF000000"/>
        <rFont val="Calibri"/>
        <family val="2"/>
      </rPr>
      <t>°</t>
    </r>
    <r>
      <rPr>
        <sz val="12.5"/>
        <color rgb="FF000000"/>
        <rFont val="Garamond"/>
        <family val="1"/>
      </rPr>
      <t>C</t>
    </r>
    <r>
      <rPr>
        <sz val="16"/>
        <color rgb="FF000000"/>
        <rFont val="Garamond"/>
        <family val="1"/>
      </rPr>
      <t>.  Flame1. Holding time 10 mins. After 5mins off flame.</t>
    </r>
  </si>
  <si>
    <t>S-P (B)</t>
  </si>
  <si>
    <r>
      <t xml:space="preserve">Add </t>
    </r>
    <r>
      <rPr>
        <b/>
        <sz val="16"/>
        <color rgb="FF000000"/>
        <rFont val="Garamond"/>
        <family val="1"/>
      </rPr>
      <t>(1)</t>
    </r>
    <r>
      <rPr>
        <sz val="16"/>
        <color rgb="FF000000"/>
        <rFont val="Garamond"/>
        <family val="1"/>
      </rPr>
      <t xml:space="preserve"> into cooker. Agitator speed 80. SET T 110°C and on heat. Flame 2.</t>
    </r>
  </si>
  <si>
    <r>
      <t>Once T 100 °C, add in</t>
    </r>
    <r>
      <rPr>
        <b/>
        <sz val="16"/>
        <color rgb="FF000000"/>
        <rFont val="Garamond"/>
        <family val="1"/>
      </rPr>
      <t xml:space="preserve"> (2)</t>
    </r>
    <r>
      <rPr>
        <sz val="16"/>
        <color rgb="FF000000"/>
        <rFont val="Garamond"/>
        <family val="1"/>
      </rPr>
      <t xml:space="preserve"> and cook for 30mins</t>
    </r>
  </si>
  <si>
    <r>
      <t xml:space="preserve">Next add in </t>
    </r>
    <r>
      <rPr>
        <b/>
        <sz val="16"/>
        <color rgb="FF000000"/>
        <rFont val="Garamond"/>
        <family val="1"/>
      </rPr>
      <t>(3), (4), (5), (6), (7)</t>
    </r>
    <r>
      <rPr>
        <sz val="16"/>
        <color rgb="FF000000"/>
        <rFont val="Garamond"/>
        <family val="1"/>
      </rPr>
      <t xml:space="preserve"> and cook for 50mins. SET T 110 °C</t>
    </r>
  </si>
  <si>
    <r>
      <t xml:space="preserve">Add  </t>
    </r>
    <r>
      <rPr>
        <b/>
        <sz val="16"/>
        <color rgb="FF000000"/>
        <rFont val="Garamond"/>
        <family val="1"/>
      </rPr>
      <t>(14), (15), (16), (17), (18), (19).</t>
    </r>
    <r>
      <rPr>
        <sz val="16"/>
        <color rgb="FF000000"/>
        <rFont val="Garamond"/>
        <family val="1"/>
      </rPr>
      <t xml:space="preserve">  Cook until T 95°</t>
    </r>
    <r>
      <rPr>
        <sz val="12.5"/>
        <color rgb="FF000000"/>
        <rFont val="Garamond"/>
        <family val="1"/>
      </rPr>
      <t>C</t>
    </r>
    <r>
      <rPr>
        <sz val="16"/>
        <color rgb="FF000000"/>
        <rFont val="Garamond"/>
        <family val="1"/>
      </rPr>
      <t>. Add water 2kg</t>
    </r>
  </si>
  <si>
    <r>
      <t xml:space="preserve"> Once T 95 °</t>
    </r>
    <r>
      <rPr>
        <sz val="12.5"/>
        <color rgb="FF000000"/>
        <rFont val="Garamond"/>
        <family val="1"/>
      </rPr>
      <t>C</t>
    </r>
    <r>
      <rPr>
        <sz val="16"/>
        <color rgb="FF000000"/>
        <rFont val="Garamond"/>
        <family val="1"/>
      </rPr>
      <t>.  Flame1. Holding time 10 mins. After 5mins off flame.</t>
    </r>
  </si>
  <si>
    <r>
      <t>1. COOKING TEMPERATURE AT LEAST</t>
    </r>
    <r>
      <rPr>
        <b/>
        <sz val="11"/>
        <color theme="1"/>
        <rFont val="Garamond"/>
        <family val="1"/>
      </rPr>
      <t xml:space="preserve"> 80°C.</t>
    </r>
  </si>
  <si>
    <r>
      <t xml:space="preserve">1. INGREDIENT HIGHLIGHTED IN </t>
    </r>
    <r>
      <rPr>
        <b/>
        <sz val="12"/>
        <color theme="1"/>
        <rFont val="Garamond"/>
        <family val="1"/>
      </rPr>
      <t>BOLD</t>
    </r>
    <r>
      <rPr>
        <sz val="11"/>
        <color theme="1"/>
        <rFont val="Garamond"/>
        <family val="1"/>
      </rPr>
      <t xml:space="preserve"> IS ALLERGEN.</t>
    </r>
  </si>
  <si>
    <t>SETTING</t>
  </si>
  <si>
    <t>DISPLAY</t>
  </si>
  <si>
    <t>C7-2</t>
  </si>
  <si>
    <t>C7-1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</si>
</sst>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"/>
    <numFmt numFmtId="165" formatCode="0.000"/>
  </numFmts>
  <fonts count="30" x14ac:knownFonts="1">
    <font>
      <sz val="11"/>
      <color theme="1"/>
      <name val="Arial"/>
      <scheme val="minor"/>
    </font>
    <font>
      <b/>
      <sz val="18"/>
      <color theme="1"/>
      <name val="Garamond"/>
      <family val="1"/>
    </font>
    <font>
      <sz val="11"/>
      <color theme="1"/>
      <name val="Garamond"/>
      <family val="1"/>
    </font>
    <font>
      <b/>
      <sz val="14"/>
      <color theme="1"/>
      <name val="Garamond"/>
      <family val="1"/>
    </font>
    <font>
      <b/>
      <sz val="12"/>
      <color theme="1"/>
      <name val="Garamond"/>
      <family val="1"/>
    </font>
    <font>
      <sz val="11"/>
      <name val="Arial"/>
      <family val="2"/>
    </font>
    <font>
      <sz val="16"/>
      <color theme="1"/>
      <name val="Garamond"/>
      <family val="1"/>
    </font>
    <font>
      <b/>
      <sz val="11"/>
      <color theme="1"/>
      <name val="Garamond"/>
      <family val="1"/>
    </font>
    <font>
      <b/>
      <sz val="14"/>
      <color theme="1"/>
      <name val="Arial"/>
      <family val="2"/>
    </font>
    <font>
      <b/>
      <sz val="16"/>
      <color theme="1"/>
      <name val="Garamond"/>
      <family val="1"/>
    </font>
    <font>
      <sz val="12"/>
      <color theme="1"/>
      <name val="Garamond"/>
      <family val="1"/>
    </font>
    <font>
      <b/>
      <sz val="10"/>
      <color theme="1"/>
      <name val="Garamond"/>
      <family val="1"/>
    </font>
    <font>
      <sz val="11"/>
      <color theme="1"/>
      <name val="Arial"/>
      <family val="2"/>
    </font>
    <font>
      <sz val="14"/>
      <color theme="1"/>
      <name val="Garamond"/>
      <family val="1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u/>
      <sz val="14"/>
      <color theme="1"/>
      <name val="Garamond"/>
      <family val="1"/>
    </font>
    <font>
      <b/>
      <u/>
      <sz val="11"/>
      <color theme="1"/>
      <name val="Garamond"/>
      <family val="1"/>
    </font>
    <font>
      <b/>
      <u/>
      <sz val="11"/>
      <color theme="1"/>
      <name val="Garamond"/>
      <family val="1"/>
    </font>
    <font>
      <sz val="10"/>
      <color theme="1"/>
      <name val="Garamond"/>
      <family val="1"/>
    </font>
    <font>
      <sz val="16"/>
      <name val="Arial"/>
      <family val="2"/>
    </font>
    <font>
      <sz val="16"/>
      <color rgb="FF000000"/>
      <name val="Garamond"/>
      <family val="1"/>
    </font>
    <font>
      <sz val="14"/>
      <color theme="1"/>
      <name val="Times New Roman"/>
      <family val="1"/>
    </font>
    <font>
      <b/>
      <sz val="16"/>
      <color rgb="FF000000"/>
      <name val="Garamond"/>
      <family val="1"/>
    </font>
    <font>
      <sz val="16"/>
      <color rgb="FF000000"/>
      <name val="Calibri"/>
      <family val="2"/>
    </font>
    <font>
      <sz val="12.5"/>
      <color rgb="FF000000"/>
      <name val="Garamond"/>
      <family val="1"/>
    </font>
    <font>
      <b/>
      <sz val="14"/>
      <color theme="1"/>
      <name val="Times New Roman"/>
      <family val="1"/>
    </font>
    <font>
      <sz val="11"/>
      <name val="Garamond"/>
      <family val="1"/>
    </font>
    <font>
      <sz val="16"/>
      <name val="Garamond"/>
      <family val="1"/>
    </font>
  </fonts>
  <fills count="7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0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12" fillId="0" borderId="0" xfId="0" applyFont="1"/>
    <xf numFmtId="49" fontId="4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10" fontId="10" fillId="0" borderId="0" xfId="0" applyNumberFormat="1" applyFont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/>
    <xf numFmtId="0" fontId="7" fillId="0" borderId="32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11" fillId="0" borderId="4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10" fillId="0" borderId="18" xfId="0" quotePrefix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0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8" xfId="0" applyFont="1" applyBorder="1" applyAlignment="1">
      <alignment horizontal="center" vertical="center"/>
    </xf>
    <xf numFmtId="0" fontId="2" fillId="0" borderId="49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6" xfId="0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15" xfId="0" applyFont="1" applyBorder="1" applyAlignment="1">
      <alignment horizontal="right" vertical="center"/>
    </xf>
    <xf numFmtId="0" fontId="7" fillId="0" borderId="16" xfId="0" applyFont="1" applyBorder="1" applyAlignment="1">
      <alignment horizontal="right" vertical="center"/>
    </xf>
    <xf numFmtId="0" fontId="2" fillId="0" borderId="4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50" xfId="0" applyFont="1" applyBorder="1" applyAlignment="1">
      <alignment vertical="center"/>
    </xf>
    <xf numFmtId="0" fontId="7" fillId="0" borderId="23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2" fillId="0" borderId="2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3" fillId="0" borderId="29" xfId="0" applyFont="1" applyBorder="1" applyAlignment="1">
      <alignment vertical="center"/>
    </xf>
    <xf numFmtId="0" fontId="7" fillId="0" borderId="33" xfId="0" applyFont="1" applyBorder="1" applyAlignment="1">
      <alignment vertical="center"/>
    </xf>
    <xf numFmtId="0" fontId="14" fillId="0" borderId="6" xfId="0" applyFont="1" applyBorder="1" applyAlignment="1">
      <alignment horizontal="left" vertical="center" wrapText="1"/>
    </xf>
    <xf numFmtId="0" fontId="15" fillId="0" borderId="49" xfId="0" applyFont="1" applyBorder="1" applyAlignment="1">
      <alignment vertical="center"/>
    </xf>
    <xf numFmtId="0" fontId="16" fillId="0" borderId="6" xfId="0" applyFont="1" applyBorder="1"/>
    <xf numFmtId="0" fontId="2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33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2" fillId="0" borderId="3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/>
    </xf>
    <xf numFmtId="0" fontId="2" fillId="3" borderId="20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3" borderId="54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0" xfId="0" quotePrefix="1" applyFont="1" applyAlignment="1">
      <alignment vertical="center"/>
    </xf>
    <xf numFmtId="10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49" fontId="6" fillId="0" borderId="18" xfId="0" applyNumberFormat="1" applyFont="1" applyBorder="1" applyAlignment="1">
      <alignment horizontal="center" vertical="center"/>
    </xf>
    <xf numFmtId="165" fontId="6" fillId="0" borderId="20" xfId="0" applyNumberFormat="1" applyFont="1" applyBorder="1" applyAlignment="1">
      <alignment horizontal="center" vertical="center"/>
    </xf>
    <xf numFmtId="49" fontId="6" fillId="0" borderId="32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22" fillId="0" borderId="25" xfId="0" applyFont="1" applyBorder="1" applyAlignment="1">
      <alignment vertical="center"/>
    </xf>
    <xf numFmtId="0" fontId="6" fillId="0" borderId="49" xfId="0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10" fillId="0" borderId="57" xfId="0" applyFont="1" applyBorder="1" applyAlignment="1">
      <alignment vertical="center"/>
    </xf>
    <xf numFmtId="0" fontId="10" fillId="0" borderId="56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3" fillId="0" borderId="59" xfId="0" applyFont="1" applyBorder="1" applyAlignment="1">
      <alignment vertical="center"/>
    </xf>
    <xf numFmtId="0" fontId="13" fillId="0" borderId="3" xfId="0" applyFont="1" applyBorder="1" applyAlignment="1">
      <alignment horizontal="right" vertical="center"/>
    </xf>
    <xf numFmtId="0" fontId="10" fillId="0" borderId="60" xfId="0" applyFont="1" applyBorder="1" applyAlignment="1">
      <alignment vertical="center"/>
    </xf>
    <xf numFmtId="0" fontId="10" fillId="0" borderId="61" xfId="0" applyFont="1" applyBorder="1" applyAlignment="1">
      <alignment vertical="center"/>
    </xf>
    <xf numFmtId="0" fontId="10" fillId="0" borderId="62" xfId="0" applyFont="1" applyBorder="1" applyAlignment="1">
      <alignment vertical="center"/>
    </xf>
    <xf numFmtId="0" fontId="10" fillId="0" borderId="63" xfId="0" applyFont="1" applyBorder="1" applyAlignment="1">
      <alignment vertical="center"/>
    </xf>
    <xf numFmtId="49" fontId="4" fillId="0" borderId="35" xfId="0" applyNumberFormat="1" applyFont="1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49" fontId="6" fillId="0" borderId="64" xfId="0" applyNumberFormat="1" applyFont="1" applyBorder="1" applyAlignment="1">
      <alignment horizontal="center" vertical="center"/>
    </xf>
    <xf numFmtId="165" fontId="6" fillId="0" borderId="67" xfId="0" applyNumberFormat="1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65" xfId="0" applyFont="1" applyBorder="1" applyAlignment="1">
      <alignment vertical="center"/>
    </xf>
    <xf numFmtId="0" fontId="6" fillId="0" borderId="68" xfId="0" applyFont="1" applyBorder="1" applyAlignment="1">
      <alignment vertical="center"/>
    </xf>
    <xf numFmtId="49" fontId="6" fillId="0" borderId="69" xfId="0" applyNumberFormat="1" applyFont="1" applyBorder="1" applyAlignment="1">
      <alignment horizontal="center" vertical="center"/>
    </xf>
    <xf numFmtId="0" fontId="6" fillId="0" borderId="70" xfId="0" applyFont="1" applyBorder="1" applyAlignment="1">
      <alignment vertical="center"/>
    </xf>
    <xf numFmtId="49" fontId="6" fillId="0" borderId="71" xfId="0" applyNumberFormat="1" applyFont="1" applyBorder="1" applyAlignment="1">
      <alignment horizontal="center" vertical="center"/>
    </xf>
    <xf numFmtId="165" fontId="6" fillId="0" borderId="74" xfId="0" applyNumberFormat="1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/>
    </xf>
    <xf numFmtId="0" fontId="6" fillId="0" borderId="75" xfId="0" applyFont="1" applyBorder="1" applyAlignment="1">
      <alignment vertical="center"/>
    </xf>
    <xf numFmtId="0" fontId="6" fillId="0" borderId="76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65" fontId="6" fillId="0" borderId="77" xfId="0" applyNumberFormat="1" applyFont="1" applyBorder="1" applyAlignment="1">
      <alignment vertical="center"/>
    </xf>
    <xf numFmtId="0" fontId="6" fillId="0" borderId="77" xfId="0" applyFont="1" applyBorder="1" applyAlignment="1">
      <alignment horizontal="center" vertical="center"/>
    </xf>
    <xf numFmtId="0" fontId="6" fillId="0" borderId="77" xfId="0" applyFont="1" applyBorder="1" applyAlignment="1">
      <alignment vertical="center"/>
    </xf>
    <xf numFmtId="49" fontId="6" fillId="0" borderId="78" xfId="0" applyNumberFormat="1" applyFont="1" applyBorder="1" applyAlignment="1">
      <alignment horizontal="center" vertical="center"/>
    </xf>
    <xf numFmtId="165" fontId="6" fillId="0" borderId="79" xfId="0" applyNumberFormat="1" applyFont="1" applyBorder="1" applyAlignment="1">
      <alignment vertical="center"/>
    </xf>
    <xf numFmtId="0" fontId="6" fillId="0" borderId="79" xfId="0" applyFont="1" applyBorder="1" applyAlignment="1">
      <alignment horizontal="center" vertical="center"/>
    </xf>
    <xf numFmtId="0" fontId="6" fillId="0" borderId="79" xfId="0" applyFont="1" applyBorder="1" applyAlignment="1">
      <alignment vertical="center"/>
    </xf>
    <xf numFmtId="0" fontId="6" fillId="0" borderId="80" xfId="0" applyFont="1" applyBorder="1" applyAlignment="1">
      <alignment vertical="center"/>
    </xf>
    <xf numFmtId="49" fontId="6" fillId="0" borderId="81" xfId="0" applyNumberFormat="1" applyFont="1" applyBorder="1" applyAlignment="1">
      <alignment horizontal="center" vertical="center"/>
    </xf>
    <xf numFmtId="0" fontId="6" fillId="0" borderId="82" xfId="0" applyFont="1" applyBorder="1" applyAlignment="1">
      <alignment vertical="center"/>
    </xf>
    <xf numFmtId="49" fontId="6" fillId="0" borderId="83" xfId="0" applyNumberFormat="1" applyFont="1" applyBorder="1" applyAlignment="1">
      <alignment horizontal="center" vertical="center"/>
    </xf>
    <xf numFmtId="165" fontId="6" fillId="0" borderId="84" xfId="0" applyNumberFormat="1" applyFont="1" applyBorder="1" applyAlignment="1">
      <alignment vertical="center"/>
    </xf>
    <xf numFmtId="0" fontId="6" fillId="0" borderId="84" xfId="0" applyFont="1" applyBorder="1" applyAlignment="1">
      <alignment horizontal="center" vertical="center"/>
    </xf>
    <xf numFmtId="0" fontId="6" fillId="0" borderId="84" xfId="0" applyFont="1" applyBorder="1" applyAlignment="1">
      <alignment vertical="center"/>
    </xf>
    <xf numFmtId="0" fontId="6" fillId="0" borderId="85" xfId="0" applyFont="1" applyBorder="1" applyAlignment="1">
      <alignment vertical="center"/>
    </xf>
    <xf numFmtId="0" fontId="23" fillId="0" borderId="65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3" fillId="0" borderId="72" xfId="0" applyFont="1" applyBorder="1" applyAlignment="1">
      <alignment vertical="center"/>
    </xf>
    <xf numFmtId="0" fontId="11" fillId="0" borderId="36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3" fillId="4" borderId="79" xfId="0" applyFont="1" applyFill="1" applyBorder="1" applyAlignment="1">
      <alignment vertical="center"/>
    </xf>
    <xf numFmtId="0" fontId="23" fillId="4" borderId="77" xfId="0" applyFont="1" applyFill="1" applyBorder="1" applyAlignment="1">
      <alignment vertical="center"/>
    </xf>
    <xf numFmtId="0" fontId="23" fillId="4" borderId="84" xfId="0" applyFont="1" applyFill="1" applyBorder="1" applyAlignment="1">
      <alignment vertical="center"/>
    </xf>
    <xf numFmtId="49" fontId="6" fillId="0" borderId="90" xfId="0" applyNumberFormat="1" applyFont="1" applyBorder="1" applyAlignment="1">
      <alignment horizontal="center" vertical="center"/>
    </xf>
    <xf numFmtId="0" fontId="6" fillId="0" borderId="94" xfId="0" applyFont="1" applyBorder="1" applyAlignment="1">
      <alignment vertical="center"/>
    </xf>
    <xf numFmtId="49" fontId="6" fillId="0" borderId="3" xfId="0" applyNumberFormat="1" applyFont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14" fontId="6" fillId="0" borderId="3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4" fillId="0" borderId="77" xfId="0" applyFont="1" applyBorder="1" applyAlignment="1">
      <alignment horizontal="center" vertical="center"/>
    </xf>
    <xf numFmtId="49" fontId="4" fillId="0" borderId="77" xfId="0" applyNumberFormat="1" applyFont="1" applyBorder="1" applyAlignment="1">
      <alignment horizontal="center" vertical="center"/>
    </xf>
    <xf numFmtId="0" fontId="4" fillId="0" borderId="77" xfId="0" applyFont="1" applyBorder="1" applyAlignment="1">
      <alignment horizontal="center"/>
    </xf>
    <xf numFmtId="0" fontId="6" fillId="4" borderId="77" xfId="0" applyFont="1" applyFill="1" applyBorder="1" applyAlignment="1">
      <alignment vertical="center"/>
    </xf>
    <xf numFmtId="165" fontId="6" fillId="4" borderId="84" xfId="0" applyNumberFormat="1" applyFont="1" applyFill="1" applyBorder="1" applyAlignment="1">
      <alignment horizontal="center" vertical="center"/>
    </xf>
    <xf numFmtId="0" fontId="6" fillId="4" borderId="84" xfId="0" applyFont="1" applyFill="1" applyBorder="1" applyAlignment="1">
      <alignment horizontal="center" vertical="center"/>
    </xf>
    <xf numFmtId="49" fontId="6" fillId="4" borderId="83" xfId="0" applyNumberFormat="1" applyFont="1" applyFill="1" applyBorder="1" applyAlignment="1">
      <alignment horizontal="center" vertical="center"/>
    </xf>
    <xf numFmtId="49" fontId="6" fillId="4" borderId="78" xfId="0" applyNumberFormat="1" applyFont="1" applyFill="1" applyBorder="1" applyAlignment="1">
      <alignment horizontal="center" vertical="center"/>
    </xf>
    <xf numFmtId="49" fontId="6" fillId="4" borderId="81" xfId="0" applyNumberFormat="1" applyFont="1" applyFill="1" applyBorder="1" applyAlignment="1">
      <alignment horizontal="center" vertical="center"/>
    </xf>
    <xf numFmtId="49" fontId="6" fillId="4" borderId="90" xfId="0" applyNumberFormat="1" applyFont="1" applyFill="1" applyBorder="1" applyAlignment="1">
      <alignment horizontal="center" vertical="center"/>
    </xf>
    <xf numFmtId="0" fontId="6" fillId="4" borderId="91" xfId="0" applyFont="1" applyFill="1" applyBorder="1" applyAlignment="1">
      <alignment vertical="center"/>
    </xf>
    <xf numFmtId="0" fontId="6" fillId="4" borderId="79" xfId="0" applyFont="1" applyFill="1" applyBorder="1" applyAlignment="1">
      <alignment vertical="center"/>
    </xf>
    <xf numFmtId="0" fontId="6" fillId="4" borderId="82" xfId="0" applyFont="1" applyFill="1" applyBorder="1" applyAlignment="1">
      <alignment vertical="center"/>
    </xf>
    <xf numFmtId="49" fontId="4" fillId="4" borderId="36" xfId="0" applyNumberFormat="1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14" fontId="6" fillId="4" borderId="3" xfId="0" applyNumberFormat="1" applyFont="1" applyFill="1" applyBorder="1" applyAlignment="1">
      <alignment horizontal="center" vertical="center"/>
    </xf>
    <xf numFmtId="165" fontId="6" fillId="4" borderId="3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49" fontId="4" fillId="4" borderId="35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2" fillId="0" borderId="29" xfId="0" applyFont="1" applyBorder="1"/>
    <xf numFmtId="0" fontId="13" fillId="4" borderId="84" xfId="0" applyFont="1" applyFill="1" applyBorder="1" applyAlignment="1">
      <alignment vertical="center"/>
    </xf>
    <xf numFmtId="0" fontId="13" fillId="4" borderId="3" xfId="0" applyFont="1" applyFill="1" applyBorder="1" applyAlignment="1">
      <alignment vertical="center"/>
    </xf>
    <xf numFmtId="0" fontId="7" fillId="0" borderId="6" xfId="0" applyFont="1" applyBorder="1" applyAlignment="1">
      <alignment horizontal="left" vertical="center" wrapText="1"/>
    </xf>
    <xf numFmtId="0" fontId="3" fillId="0" borderId="49" xfId="0" applyFont="1" applyBorder="1" applyAlignment="1">
      <alignment vertical="center"/>
    </xf>
    <xf numFmtId="0" fontId="13" fillId="0" borderId="6" xfId="0" applyFont="1" applyBorder="1"/>
    <xf numFmtId="0" fontId="4" fillId="4" borderId="37" xfId="0" applyFont="1" applyFill="1" applyBorder="1" applyAlignment="1">
      <alignment horizontal="center" vertical="center"/>
    </xf>
    <xf numFmtId="0" fontId="6" fillId="4" borderId="77" xfId="0" applyFont="1" applyFill="1" applyBorder="1" applyAlignment="1">
      <alignment horizontal="center" vertical="center"/>
    </xf>
    <xf numFmtId="0" fontId="6" fillId="4" borderId="79" xfId="0" applyFont="1" applyFill="1" applyBorder="1" applyAlignment="1">
      <alignment horizontal="center" vertical="center"/>
    </xf>
    <xf numFmtId="0" fontId="6" fillId="4" borderId="91" xfId="0" applyFont="1" applyFill="1" applyBorder="1" applyAlignment="1">
      <alignment horizontal="center" vertical="center"/>
    </xf>
    <xf numFmtId="165" fontId="6" fillId="0" borderId="79" xfId="0" applyNumberFormat="1" applyFont="1" applyBorder="1" applyAlignment="1">
      <alignment horizontal="center" vertical="center"/>
    </xf>
    <xf numFmtId="165" fontId="6" fillId="0" borderId="77" xfId="0" applyNumberFormat="1" applyFont="1" applyBorder="1" applyAlignment="1">
      <alignment horizontal="center" vertical="center"/>
    </xf>
    <xf numFmtId="165" fontId="6" fillId="0" borderId="84" xfId="0" applyNumberFormat="1" applyFont="1" applyBorder="1" applyAlignment="1">
      <alignment horizontal="center" vertical="center"/>
    </xf>
    <xf numFmtId="165" fontId="6" fillId="0" borderId="91" xfId="0" applyNumberFormat="1" applyFont="1" applyBorder="1" applyAlignment="1">
      <alignment vertical="center"/>
    </xf>
    <xf numFmtId="0" fontId="6" fillId="0" borderId="91" xfId="0" applyFont="1" applyBorder="1" applyAlignment="1">
      <alignment horizontal="center" vertical="center"/>
    </xf>
    <xf numFmtId="0" fontId="6" fillId="0" borderId="91" xfId="0" applyFont="1" applyBorder="1" applyAlignment="1">
      <alignment vertical="center"/>
    </xf>
    <xf numFmtId="0" fontId="27" fillId="5" borderId="79" xfId="0" applyFont="1" applyFill="1" applyBorder="1" applyAlignment="1">
      <alignment vertical="center"/>
    </xf>
    <xf numFmtId="0" fontId="27" fillId="5" borderId="77" xfId="0" applyFont="1" applyFill="1" applyBorder="1" applyAlignment="1">
      <alignment vertical="center"/>
    </xf>
    <xf numFmtId="0" fontId="23" fillId="5" borderId="77" xfId="0" applyFont="1" applyFill="1" applyBorder="1" applyAlignment="1">
      <alignment vertical="center"/>
    </xf>
    <xf numFmtId="0" fontId="23" fillId="5" borderId="84" xfId="0" applyFont="1" applyFill="1" applyBorder="1" applyAlignment="1">
      <alignment vertical="center"/>
    </xf>
    <xf numFmtId="0" fontId="23" fillId="5" borderId="79" xfId="0" applyFont="1" applyFill="1" applyBorder="1" applyAlignment="1">
      <alignment vertical="center"/>
    </xf>
    <xf numFmtId="0" fontId="23" fillId="5" borderId="91" xfId="0" applyFont="1" applyFill="1" applyBorder="1" applyAlignment="1">
      <alignment vertical="center"/>
    </xf>
    <xf numFmtId="0" fontId="23" fillId="0" borderId="84" xfId="0" applyFont="1" applyBorder="1" applyAlignment="1">
      <alignment vertical="center"/>
    </xf>
    <xf numFmtId="0" fontId="23" fillId="0" borderId="77" xfId="0" applyFont="1" applyBorder="1" applyAlignment="1">
      <alignment vertical="center"/>
    </xf>
    <xf numFmtId="165" fontId="6" fillId="6" borderId="77" xfId="0" applyNumberFormat="1" applyFont="1" applyFill="1" applyBorder="1" applyAlignment="1">
      <alignment horizontal="center" vertical="center"/>
    </xf>
    <xf numFmtId="165" fontId="6" fillId="6" borderId="91" xfId="0" applyNumberFormat="1" applyFont="1" applyFill="1" applyBorder="1" applyAlignment="1">
      <alignment horizontal="center" vertical="center"/>
    </xf>
    <xf numFmtId="165" fontId="6" fillId="6" borderId="96" xfId="0" applyNumberFormat="1" applyFont="1" applyFill="1" applyBorder="1" applyAlignment="1">
      <alignment horizontal="center" vertical="center"/>
    </xf>
    <xf numFmtId="165" fontId="6" fillId="6" borderId="84" xfId="0" applyNumberFormat="1" applyFont="1" applyFill="1" applyBorder="1" applyAlignment="1">
      <alignment horizontal="center" vertical="center"/>
    </xf>
    <xf numFmtId="165" fontId="6" fillId="6" borderId="79" xfId="0" applyNumberFormat="1" applyFont="1" applyFill="1" applyBorder="1" applyAlignment="1">
      <alignment horizontal="center" vertical="center"/>
    </xf>
    <xf numFmtId="0" fontId="13" fillId="4" borderId="95" xfId="0" applyFont="1" applyFill="1" applyBorder="1" applyAlignment="1">
      <alignment vertical="center"/>
    </xf>
    <xf numFmtId="0" fontId="13" fillId="4" borderId="77" xfId="0" applyFont="1" applyFill="1" applyBorder="1" applyAlignment="1">
      <alignment vertical="center"/>
    </xf>
    <xf numFmtId="0" fontId="13" fillId="4" borderId="79" xfId="0" applyFont="1" applyFill="1" applyBorder="1" applyAlignment="1">
      <alignment vertical="center"/>
    </xf>
    <xf numFmtId="0" fontId="3" fillId="4" borderId="77" xfId="0" applyFont="1" applyFill="1" applyBorder="1" applyAlignment="1">
      <alignment vertical="center"/>
    </xf>
    <xf numFmtId="0" fontId="13" fillId="4" borderId="91" xfId="0" applyFont="1" applyFill="1" applyBorder="1" applyAlignment="1">
      <alignment vertical="center"/>
    </xf>
    <xf numFmtId="14" fontId="6" fillId="4" borderId="77" xfId="0" applyNumberFormat="1" applyFont="1" applyFill="1" applyBorder="1" applyAlignment="1">
      <alignment horizontal="center" vertical="center"/>
    </xf>
    <xf numFmtId="0" fontId="29" fillId="4" borderId="77" xfId="0" applyFont="1" applyFill="1" applyBorder="1"/>
    <xf numFmtId="0" fontId="4" fillId="0" borderId="6" xfId="0" applyFont="1" applyBorder="1" applyAlignment="1">
      <alignment horizontal="left" vertical="center"/>
    </xf>
    <xf numFmtId="0" fontId="28" fillId="0" borderId="6" xfId="0" applyFont="1" applyBorder="1"/>
    <xf numFmtId="0" fontId="7" fillId="4" borderId="98" xfId="0" applyFont="1" applyFill="1" applyBorder="1" applyAlignment="1">
      <alignment horizontal="center" vertical="center"/>
    </xf>
    <xf numFmtId="0" fontId="28" fillId="4" borderId="99" xfId="0" applyFont="1" applyFill="1" applyBorder="1"/>
    <xf numFmtId="14" fontId="6" fillId="4" borderId="97" xfId="0" applyNumberFormat="1" applyFont="1" applyFill="1" applyBorder="1" applyAlignment="1">
      <alignment horizontal="center" vertical="center"/>
    </xf>
    <xf numFmtId="0" fontId="29" fillId="4" borderId="97" xfId="0" applyFont="1" applyFill="1" applyBorder="1"/>
    <xf numFmtId="0" fontId="4" fillId="0" borderId="0" xfId="0" applyFont="1" applyAlignment="1">
      <alignment horizontal="left" vertical="center"/>
    </xf>
    <xf numFmtId="0" fontId="2" fillId="0" borderId="0" xfId="0" applyFont="1"/>
    <xf numFmtId="2" fontId="3" fillId="0" borderId="1" xfId="0" applyNumberFormat="1" applyFont="1" applyBorder="1" applyAlignment="1">
      <alignment horizontal="center" vertical="center"/>
    </xf>
    <xf numFmtId="0" fontId="28" fillId="0" borderId="1" xfId="0" applyFont="1" applyBorder="1"/>
    <xf numFmtId="164" fontId="3" fillId="0" borderId="1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8" fillId="0" borderId="5" xfId="0" applyFont="1" applyBorder="1"/>
    <xf numFmtId="164" fontId="3" fillId="5" borderId="1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29" fillId="0" borderId="3" xfId="0" applyFont="1" applyBorder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8" fillId="0" borderId="29" xfId="0" applyFont="1" applyBorder="1"/>
    <xf numFmtId="0" fontId="7" fillId="0" borderId="41" xfId="0" applyFont="1" applyBorder="1" applyAlignment="1">
      <alignment horizontal="center" vertical="center" wrapText="1"/>
    </xf>
    <xf numFmtId="0" fontId="28" fillId="0" borderId="46" xfId="0" applyFont="1" applyBorder="1"/>
    <xf numFmtId="0" fontId="7" fillId="0" borderId="35" xfId="0" applyFont="1" applyBorder="1" applyAlignment="1">
      <alignment horizontal="center" vertical="center"/>
    </xf>
    <xf numFmtId="0" fontId="28" fillId="0" borderId="42" xfId="0" applyFont="1" applyBorder="1"/>
    <xf numFmtId="0" fontId="7" fillId="0" borderId="36" xfId="0" applyFont="1" applyBorder="1" applyAlignment="1">
      <alignment horizontal="center" vertical="center"/>
    </xf>
    <xf numFmtId="0" fontId="28" fillId="0" borderId="16" xfId="0" applyFont="1" applyBorder="1"/>
    <xf numFmtId="0" fontId="28" fillId="0" borderId="37" xfId="0" applyFont="1" applyBorder="1"/>
    <xf numFmtId="0" fontId="28" fillId="0" borderId="43" xfId="0" applyFont="1" applyBorder="1"/>
    <xf numFmtId="0" fontId="28" fillId="0" borderId="44" xfId="0" applyFont="1" applyBorder="1"/>
    <xf numFmtId="0" fontId="7" fillId="0" borderId="38" xfId="0" applyFont="1" applyBorder="1" applyAlignment="1">
      <alignment horizontal="center" vertical="center" wrapText="1"/>
    </xf>
    <xf numFmtId="0" fontId="28" fillId="0" borderId="45" xfId="0" applyFont="1" applyBorder="1"/>
    <xf numFmtId="0" fontId="7" fillId="0" borderId="23" xfId="0" applyFont="1" applyBorder="1" applyAlignment="1">
      <alignment horizontal="center" vertical="center" wrapText="1"/>
    </xf>
    <xf numFmtId="0" fontId="28" fillId="0" borderId="23" xfId="0" applyFont="1" applyBorder="1"/>
    <xf numFmtId="0" fontId="7" fillId="0" borderId="8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top" wrapText="1"/>
    </xf>
    <xf numFmtId="0" fontId="2" fillId="0" borderId="34" xfId="0" applyFont="1" applyBorder="1" applyAlignment="1">
      <alignment horizontal="left" vertical="top" wrapText="1"/>
    </xf>
    <xf numFmtId="0" fontId="28" fillId="0" borderId="17" xfId="0" applyFont="1" applyBorder="1"/>
    <xf numFmtId="0" fontId="28" fillId="0" borderId="34" xfId="0" applyFont="1" applyBorder="1"/>
    <xf numFmtId="0" fontId="7" fillId="0" borderId="39" xfId="0" applyFont="1" applyBorder="1" applyAlignment="1">
      <alignment horizontal="center" vertical="center"/>
    </xf>
    <xf numFmtId="0" fontId="28" fillId="0" borderId="40" xfId="0" applyFont="1" applyBorder="1"/>
    <xf numFmtId="0" fontId="28" fillId="0" borderId="9" xfId="0" applyFont="1" applyBorder="1"/>
    <xf numFmtId="0" fontId="11" fillId="0" borderId="41" xfId="0" applyFont="1" applyBorder="1" applyAlignment="1">
      <alignment horizontal="center" vertical="center" wrapText="1"/>
    </xf>
    <xf numFmtId="14" fontId="6" fillId="4" borderId="86" xfId="0" applyNumberFormat="1" applyFont="1" applyFill="1" applyBorder="1" applyAlignment="1">
      <alignment horizontal="center" vertical="center"/>
    </xf>
    <xf numFmtId="14" fontId="6" fillId="4" borderId="87" xfId="0" applyNumberFormat="1" applyFont="1" applyFill="1" applyBorder="1" applyAlignment="1">
      <alignment horizontal="center" vertical="center"/>
    </xf>
    <xf numFmtId="14" fontId="6" fillId="4" borderId="88" xfId="0" applyNumberFormat="1" applyFont="1" applyFill="1" applyBorder="1" applyAlignment="1">
      <alignment horizontal="center" vertical="center"/>
    </xf>
    <xf numFmtId="14" fontId="6" fillId="4" borderId="89" xfId="0" applyNumberFormat="1" applyFont="1" applyFill="1" applyBorder="1" applyAlignment="1">
      <alignment horizontal="center" vertical="center"/>
    </xf>
    <xf numFmtId="14" fontId="6" fillId="4" borderId="105" xfId="0" applyNumberFormat="1" applyFont="1" applyFill="1" applyBorder="1" applyAlignment="1">
      <alignment horizontal="center" vertical="center"/>
    </xf>
    <xf numFmtId="14" fontId="6" fillId="4" borderId="88" xfId="0" applyNumberFormat="1" applyFont="1" applyFill="1" applyBorder="1" applyAlignment="1">
      <alignment horizontal="center" vertical="center" wrapText="1"/>
    </xf>
    <xf numFmtId="14" fontId="6" fillId="4" borderId="104" xfId="0" applyNumberFormat="1" applyFont="1" applyFill="1" applyBorder="1" applyAlignment="1">
      <alignment horizontal="center" vertical="center" wrapText="1"/>
    </xf>
    <xf numFmtId="14" fontId="6" fillId="4" borderId="89" xfId="0" applyNumberFormat="1" applyFont="1" applyFill="1" applyBorder="1" applyAlignment="1">
      <alignment horizontal="center" vertical="center" wrapText="1"/>
    </xf>
    <xf numFmtId="14" fontId="6" fillId="4" borderId="104" xfId="0" applyNumberFormat="1" applyFont="1" applyFill="1" applyBorder="1" applyAlignment="1">
      <alignment horizontal="center" vertical="center"/>
    </xf>
    <xf numFmtId="0" fontId="7" fillId="4" borderId="100" xfId="0" applyFont="1" applyFill="1" applyBorder="1" applyAlignment="1">
      <alignment horizontal="center" vertical="center"/>
    </xf>
    <xf numFmtId="0" fontId="7" fillId="4" borderId="101" xfId="0" applyFont="1" applyFill="1" applyBorder="1" applyAlignment="1">
      <alignment horizontal="center" vertical="center"/>
    </xf>
    <xf numFmtId="0" fontId="7" fillId="4" borderId="102" xfId="0" applyFont="1" applyFill="1" applyBorder="1" applyAlignment="1">
      <alignment horizontal="center" vertical="center"/>
    </xf>
    <xf numFmtId="14" fontId="6" fillId="4" borderId="95" xfId="0" applyNumberFormat="1" applyFont="1" applyFill="1" applyBorder="1" applyAlignment="1">
      <alignment horizontal="center" vertical="center"/>
    </xf>
    <xf numFmtId="14" fontId="6" fillId="4" borderId="103" xfId="0" applyNumberFormat="1" applyFont="1" applyFill="1" applyBorder="1" applyAlignment="1">
      <alignment horizontal="center" vertical="center"/>
    </xf>
    <xf numFmtId="14" fontId="6" fillId="4" borderId="96" xfId="0" applyNumberFormat="1" applyFont="1" applyFill="1" applyBorder="1" applyAlignment="1">
      <alignment horizontal="center" vertical="center"/>
    </xf>
    <xf numFmtId="0" fontId="5" fillId="0" borderId="37" xfId="0" applyFont="1" applyBorder="1"/>
    <xf numFmtId="0" fontId="0" fillId="0" borderId="0" xfId="0"/>
    <xf numFmtId="0" fontId="5" fillId="5" borderId="1" xfId="0" applyFont="1" applyFill="1" applyBorder="1"/>
    <xf numFmtId="0" fontId="8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1" xfId="0" applyFont="1" applyBorder="1"/>
    <xf numFmtId="0" fontId="5" fillId="0" borderId="5" xfId="0" applyFont="1" applyBorder="1"/>
    <xf numFmtId="0" fontId="5" fillId="0" borderId="6" xfId="0" applyFont="1" applyBorder="1"/>
    <xf numFmtId="14" fontId="6" fillId="5" borderId="79" xfId="0" applyNumberFormat="1" applyFont="1" applyFill="1" applyBorder="1" applyAlignment="1">
      <alignment horizontal="center" vertical="center"/>
    </xf>
    <xf numFmtId="0" fontId="21" fillId="5" borderId="79" xfId="0" applyFont="1" applyFill="1" applyBorder="1"/>
    <xf numFmtId="14" fontId="6" fillId="5" borderId="77" xfId="0" applyNumberFormat="1" applyFont="1" applyFill="1" applyBorder="1" applyAlignment="1">
      <alignment horizontal="center" vertical="center"/>
    </xf>
    <xf numFmtId="0" fontId="21" fillId="5" borderId="77" xfId="0" applyFont="1" applyFill="1" applyBorder="1"/>
    <xf numFmtId="14" fontId="21" fillId="5" borderId="77" xfId="0" applyNumberFormat="1" applyFont="1" applyFill="1" applyBorder="1"/>
    <xf numFmtId="14" fontId="6" fillId="0" borderId="77" xfId="0" applyNumberFormat="1" applyFont="1" applyBorder="1" applyAlignment="1">
      <alignment horizontal="center" vertical="center"/>
    </xf>
    <xf numFmtId="0" fontId="21" fillId="0" borderId="77" xfId="0" applyFont="1" applyBorder="1"/>
    <xf numFmtId="14" fontId="6" fillId="5" borderId="77" xfId="0" applyNumberFormat="1" applyFont="1" applyFill="1" applyBorder="1" applyAlignment="1">
      <alignment horizontal="center" vertical="center" wrapText="1"/>
    </xf>
    <xf numFmtId="14" fontId="6" fillId="5" borderId="88" xfId="0" applyNumberFormat="1" applyFont="1" applyFill="1" applyBorder="1" applyAlignment="1">
      <alignment horizontal="center" vertical="center"/>
    </xf>
    <xf numFmtId="14" fontId="6" fillId="5" borderId="89" xfId="0" applyNumberFormat="1" applyFont="1" applyFill="1" applyBorder="1" applyAlignment="1">
      <alignment horizontal="center" vertical="center"/>
    </xf>
    <xf numFmtId="14" fontId="6" fillId="5" borderId="86" xfId="0" applyNumberFormat="1" applyFont="1" applyFill="1" applyBorder="1" applyAlignment="1">
      <alignment horizontal="center" vertical="center"/>
    </xf>
    <xf numFmtId="14" fontId="6" fillId="5" borderId="87" xfId="0" applyNumberFormat="1" applyFont="1" applyFill="1" applyBorder="1" applyAlignment="1">
      <alignment horizontal="center" vertical="center"/>
    </xf>
    <xf numFmtId="14" fontId="6" fillId="5" borderId="92" xfId="0" applyNumberFormat="1" applyFont="1" applyFill="1" applyBorder="1" applyAlignment="1">
      <alignment horizontal="center" vertical="center"/>
    </xf>
    <xf numFmtId="14" fontId="6" fillId="5" borderId="93" xfId="0" applyNumberFormat="1" applyFont="1" applyFill="1" applyBorder="1" applyAlignment="1">
      <alignment horizontal="center" vertical="center"/>
    </xf>
    <xf numFmtId="14" fontId="6" fillId="0" borderId="86" xfId="0" applyNumberFormat="1" applyFont="1" applyBorder="1" applyAlignment="1">
      <alignment horizontal="center" vertical="center"/>
    </xf>
    <xf numFmtId="14" fontId="6" fillId="0" borderId="87" xfId="0" applyNumberFormat="1" applyFont="1" applyBorder="1" applyAlignment="1">
      <alignment horizontal="center" vertical="center"/>
    </xf>
    <xf numFmtId="0" fontId="5" fillId="0" borderId="42" xfId="0" applyFont="1" applyBorder="1"/>
    <xf numFmtId="0" fontId="5" fillId="0" borderId="16" xfId="0" applyFont="1" applyBorder="1"/>
    <xf numFmtId="0" fontId="5" fillId="0" borderId="43" xfId="0" applyFont="1" applyBorder="1"/>
    <xf numFmtId="0" fontId="5" fillId="0" borderId="44" xfId="0" applyFont="1" applyBorder="1"/>
    <xf numFmtId="0" fontId="5" fillId="0" borderId="45" xfId="0" applyFont="1" applyBorder="1"/>
    <xf numFmtId="0" fontId="5" fillId="0" borderId="23" xfId="0" applyFont="1" applyBorder="1"/>
    <xf numFmtId="0" fontId="5" fillId="0" borderId="40" xfId="0" applyFont="1" applyBorder="1"/>
    <xf numFmtId="0" fontId="5" fillId="0" borderId="9" xfId="0" applyFont="1" applyBorder="1"/>
    <xf numFmtId="0" fontId="5" fillId="0" borderId="29" xfId="0" applyFont="1" applyBorder="1"/>
    <xf numFmtId="0" fontId="9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0" borderId="19" xfId="0" applyFont="1" applyBorder="1"/>
    <xf numFmtId="0" fontId="2" fillId="0" borderId="30" xfId="0" applyFont="1" applyBorder="1" applyAlignment="1">
      <alignment horizontal="center" vertical="center"/>
    </xf>
    <xf numFmtId="0" fontId="5" fillId="0" borderId="51" xfId="0" applyFont="1" applyBorder="1"/>
    <xf numFmtId="0" fontId="5" fillId="0" borderId="52" xfId="0" applyFont="1" applyBorder="1"/>
    <xf numFmtId="0" fontId="5" fillId="0" borderId="11" xfId="0" applyFont="1" applyBorder="1"/>
    <xf numFmtId="0" fontId="5" fillId="0" borderId="53" xfId="0" applyFont="1" applyBorder="1"/>
    <xf numFmtId="0" fontId="2" fillId="0" borderId="31" xfId="0" applyFont="1" applyBorder="1" applyAlignment="1">
      <alignment horizontal="center" vertical="center"/>
    </xf>
    <xf numFmtId="0" fontId="5" fillId="0" borderId="10" xfId="0" applyFont="1" applyBorder="1"/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5" fillId="0" borderId="55" xfId="0" applyFont="1" applyBorder="1"/>
    <xf numFmtId="14" fontId="6" fillId="0" borderId="65" xfId="0" applyNumberFormat="1" applyFont="1" applyBorder="1" applyAlignment="1">
      <alignment horizontal="center" vertical="center"/>
    </xf>
    <xf numFmtId="0" fontId="21" fillId="0" borderId="66" xfId="0" applyFont="1" applyBorder="1"/>
    <xf numFmtId="14" fontId="6" fillId="4" borderId="79" xfId="0" applyNumberFormat="1" applyFont="1" applyFill="1" applyBorder="1" applyAlignment="1">
      <alignment horizontal="center" vertical="center"/>
    </xf>
    <xf numFmtId="0" fontId="21" fillId="4" borderId="79" xfId="0" applyFont="1" applyFill="1" applyBorder="1"/>
    <xf numFmtId="14" fontId="6" fillId="0" borderId="13" xfId="0" applyNumberFormat="1" applyFont="1" applyBorder="1" applyAlignment="1">
      <alignment horizontal="center" vertical="center"/>
    </xf>
    <xf numFmtId="0" fontId="21" fillId="0" borderId="19" xfId="0" applyFont="1" applyBorder="1"/>
    <xf numFmtId="0" fontId="21" fillId="4" borderId="77" xfId="0" applyFont="1" applyFill="1" applyBorder="1"/>
    <xf numFmtId="14" fontId="21" fillId="4" borderId="77" xfId="0" applyNumberFormat="1" applyFont="1" applyFill="1" applyBorder="1"/>
    <xf numFmtId="14" fontId="6" fillId="4" borderId="77" xfId="0" applyNumberFormat="1" applyFont="1" applyFill="1" applyBorder="1" applyAlignment="1">
      <alignment horizontal="center" vertical="center" wrapText="1"/>
    </xf>
    <xf numFmtId="14" fontId="6" fillId="0" borderId="72" xfId="0" applyNumberFormat="1" applyFont="1" applyBorder="1" applyAlignment="1">
      <alignment horizontal="center" vertical="center"/>
    </xf>
    <xf numFmtId="0" fontId="21" fillId="0" borderId="73" xfId="0" applyFont="1" applyBorder="1"/>
    <xf numFmtId="14" fontId="6" fillId="4" borderId="84" xfId="0" applyNumberFormat="1" applyFont="1" applyFill="1" applyBorder="1" applyAlignment="1">
      <alignment horizontal="center" vertical="center"/>
    </xf>
    <xf numFmtId="0" fontId="21" fillId="4" borderId="84" xfId="0" applyFont="1" applyFill="1" applyBorder="1"/>
    <xf numFmtId="164" fontId="3" fillId="4" borderId="1" xfId="0" applyNumberFormat="1" applyFont="1" applyFill="1" applyBorder="1" applyAlignment="1">
      <alignment horizontal="center" vertical="center"/>
    </xf>
    <xf numFmtId="0" fontId="28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rive\FORM%20-%20PRODUCTION\PROD-PR-01-A%20REP(A6)%20(22071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003"/>
  <sheetViews>
    <sheetView tabSelected="1" view="pageLayout" topLeftCell="G1" zoomScale="91" zoomScaleNormal="91" zoomScalePageLayoutView="91" workbookViewId="0">
      <selection activeCell="W3" sqref="W3"/>
    </sheetView>
  </sheetViews>
  <sheetFormatPr defaultColWidth="12.625" defaultRowHeight="15" customHeight="1" x14ac:dyDescent="0.25"/>
  <cols>
    <col min="1" max="1" width="9.625" style="185" customWidth="1"/>
    <col min="2" max="2" width="21.375" style="185" customWidth="1"/>
    <col min="3" max="4" width="9.625" style="185" customWidth="1"/>
    <col min="5" max="5" width="10.375" style="185" bestFit="1" customWidth="1"/>
    <col min="6" max="6" width="9.625" style="185" customWidth="1"/>
    <col min="7" max="7" width="16.875" style="185" customWidth="1"/>
    <col min="8" max="10" width="9.625" style="185" customWidth="1"/>
    <col min="11" max="11" width="21.25" style="185" customWidth="1"/>
    <col min="12" max="13" width="9.625" style="185" customWidth="1"/>
    <col min="14" max="14" width="12.625" style="185" customWidth="1"/>
    <col min="15" max="15" width="16.25" style="185" customWidth="1"/>
    <col min="16" max="16" width="13" style="185" customWidth="1"/>
    <col min="17" max="17" width="12.625" style="185" customWidth="1"/>
    <col min="18" max="39" width="9.625" style="185" customWidth="1"/>
    <col min="40" max="16384" width="12.625" style="185"/>
  </cols>
  <sheetData>
    <row r="1" spans="1:39" ht="23.25" x14ac:dyDescent="0.25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8.75" x14ac:dyDescent="0.25">
      <c r="A2" s="239" t="s">
        <v>1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22.5" customHeight="1" x14ac:dyDescent="0.35">
      <c r="A3" s="229" t="s">
        <v>2</v>
      </c>
      <c r="B3" s="230"/>
      <c r="C3" s="345">
        <v>46006</v>
      </c>
      <c r="D3" s="346"/>
      <c r="E3" s="4"/>
      <c r="F3" s="5"/>
      <c r="G3" s="6"/>
      <c r="H3" s="6"/>
      <c r="I3" s="7" t="s">
        <v>3</v>
      </c>
      <c r="J3" s="237" t="s">
        <v>237</v>
      </c>
      <c r="K3" s="238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15.75" customHeight="1" x14ac:dyDescent="0.25">
      <c r="A4" s="3"/>
      <c r="B4" s="3"/>
      <c r="C4" s="5"/>
      <c r="D4" s="5"/>
      <c r="E4" s="5"/>
      <c r="F4" s="5"/>
      <c r="G4" s="8"/>
      <c r="H4" s="8"/>
      <c r="I4" s="8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22.5" customHeight="1" x14ac:dyDescent="0.25">
      <c r="A5" s="229" t="s">
        <v>4</v>
      </c>
      <c r="B5" s="230"/>
      <c r="C5" s="9" t="s">
        <v>195</v>
      </c>
      <c r="D5" s="4"/>
      <c r="E5" s="4"/>
      <c r="F5" s="4"/>
      <c r="G5" s="6"/>
      <c r="H5" s="6"/>
      <c r="I5" s="7" t="s">
        <v>5</v>
      </c>
      <c r="J5" s="231">
        <f>SUM(E10:E18,O10:O19)</f>
        <v>314.31000000000006</v>
      </c>
      <c r="K5" s="232"/>
      <c r="L5" s="6" t="s">
        <v>6</v>
      </c>
      <c r="M5" s="8"/>
      <c r="N5" s="8"/>
      <c r="O5" s="7" t="s">
        <v>7</v>
      </c>
      <c r="P5" s="10"/>
      <c r="Q5" s="11"/>
      <c r="R5" s="11"/>
      <c r="S5" s="8"/>
      <c r="T5" s="6"/>
      <c r="U5" s="7" t="s">
        <v>8</v>
      </c>
      <c r="V5" s="10"/>
      <c r="W5" s="11"/>
      <c r="X5" s="1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9" ht="22.5" customHeight="1" x14ac:dyDescent="0.25">
      <c r="A6" s="229" t="s">
        <v>9</v>
      </c>
      <c r="B6" s="230"/>
      <c r="C6" s="233">
        <f>C3</f>
        <v>46006</v>
      </c>
      <c r="D6" s="232"/>
      <c r="E6" s="13" t="s">
        <v>168</v>
      </c>
      <c r="F6" s="95" t="str">
        <f>J3</f>
        <v>C7-1</v>
      </c>
      <c r="G6" s="6"/>
      <c r="H6" s="6"/>
      <c r="I6" s="7" t="s">
        <v>10</v>
      </c>
      <c r="J6" s="234">
        <v>1</v>
      </c>
      <c r="K6" s="235"/>
      <c r="L6" s="14"/>
      <c r="M6" s="8"/>
      <c r="N6" s="8"/>
      <c r="O6" s="7" t="s">
        <v>11</v>
      </c>
      <c r="P6" s="10"/>
      <c r="Q6" s="11"/>
      <c r="R6" s="11"/>
      <c r="S6" s="8"/>
      <c r="T6" s="1"/>
      <c r="U6" s="6"/>
      <c r="V6" s="6"/>
      <c r="W6" s="6"/>
      <c r="X6" s="6"/>
      <c r="Y6" s="6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ht="16.5" thickBot="1" x14ac:dyDescent="0.3">
      <c r="A8" s="223" t="s">
        <v>12</v>
      </c>
      <c r="B8" s="22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5"/>
      <c r="U8" s="15" t="s">
        <v>19</v>
      </c>
      <c r="Y8" s="17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9" ht="30.75" customHeight="1" thickBot="1" x14ac:dyDescent="0.3">
      <c r="A9" s="117" t="s">
        <v>13</v>
      </c>
      <c r="B9" s="179" t="s">
        <v>14</v>
      </c>
      <c r="C9" s="225" t="s">
        <v>15</v>
      </c>
      <c r="D9" s="226"/>
      <c r="E9" s="193" t="s">
        <v>16</v>
      </c>
      <c r="F9" s="120" t="s">
        <v>17</v>
      </c>
      <c r="G9" s="152" t="s">
        <v>18</v>
      </c>
      <c r="H9" s="153" t="s">
        <v>180</v>
      </c>
      <c r="I9" s="5"/>
      <c r="J9" s="184" t="s">
        <v>13</v>
      </c>
      <c r="K9" s="179" t="s">
        <v>14</v>
      </c>
      <c r="L9" s="278" t="s">
        <v>15</v>
      </c>
      <c r="M9" s="279"/>
      <c r="N9" s="280"/>
      <c r="O9" s="180" t="s">
        <v>16</v>
      </c>
      <c r="P9" s="180" t="s">
        <v>17</v>
      </c>
      <c r="Q9" s="152" t="s">
        <v>18</v>
      </c>
      <c r="R9" s="153" t="s">
        <v>180</v>
      </c>
      <c r="T9" s="108"/>
      <c r="U9" s="109"/>
      <c r="V9" s="109"/>
      <c r="W9" s="109"/>
      <c r="X9" s="110"/>
      <c r="Y9" s="18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9" ht="21" x14ac:dyDescent="0.35">
      <c r="A10" s="173" t="s">
        <v>20</v>
      </c>
      <c r="B10" s="216" t="s">
        <v>170</v>
      </c>
      <c r="C10" s="227">
        <v>46000</v>
      </c>
      <c r="D10" s="228"/>
      <c r="E10" s="213">
        <f>49.6*J6</f>
        <v>49.6</v>
      </c>
      <c r="F10" s="195" t="s">
        <v>21</v>
      </c>
      <c r="G10" s="177"/>
      <c r="H10" s="141"/>
      <c r="I10" s="19">
        <f t="shared" ref="I10:I18" si="0">(E10/$J$5)</f>
        <v>0.15780598771913076</v>
      </c>
      <c r="J10" s="173" t="s">
        <v>24</v>
      </c>
      <c r="K10" s="218" t="s">
        <v>226</v>
      </c>
      <c r="L10" s="281">
        <v>45975</v>
      </c>
      <c r="M10" s="282"/>
      <c r="N10" s="283"/>
      <c r="O10" s="215">
        <f>9.11*J6</f>
        <v>9.11</v>
      </c>
      <c r="P10" s="195" t="s">
        <v>21</v>
      </c>
      <c r="Q10" s="177"/>
      <c r="R10" s="141"/>
      <c r="S10" s="19">
        <f t="shared" ref="S10:S19" si="1">(O10/$J$5)</f>
        <v>2.8984123954058087E-2</v>
      </c>
      <c r="T10" s="111"/>
      <c r="U10" s="112" t="s">
        <v>25</v>
      </c>
      <c r="V10" s="22">
        <f>FLOOR(($J$5*85%)/1,1)</f>
        <v>267</v>
      </c>
      <c r="W10" s="186"/>
      <c r="X10" s="113" t="s">
        <v>208</v>
      </c>
      <c r="Y10" s="21"/>
      <c r="Z10" s="19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</row>
    <row r="11" spans="1:39" ht="21" x14ac:dyDescent="0.35">
      <c r="A11" s="174" t="s">
        <v>169</v>
      </c>
      <c r="B11" s="219" t="s">
        <v>189</v>
      </c>
      <c r="C11" s="227">
        <v>45990</v>
      </c>
      <c r="D11" s="228"/>
      <c r="E11" s="211">
        <f>6.06*J6</f>
        <v>6.06</v>
      </c>
      <c r="F11" s="194" t="s">
        <v>21</v>
      </c>
      <c r="G11" s="136"/>
      <c r="H11" s="143"/>
      <c r="I11" s="19">
        <f t="shared" si="0"/>
        <v>1.9280328338264766E-2</v>
      </c>
      <c r="J11" s="174" t="s">
        <v>166</v>
      </c>
      <c r="K11" s="217" t="s">
        <v>175</v>
      </c>
      <c r="L11" s="271">
        <v>45990</v>
      </c>
      <c r="M11" s="277"/>
      <c r="N11" s="272"/>
      <c r="O11" s="211">
        <f>20.8*J6</f>
        <v>20.8</v>
      </c>
      <c r="P11" s="135" t="s">
        <v>21</v>
      </c>
      <c r="Q11" s="136"/>
      <c r="R11" s="143"/>
      <c r="S11" s="19">
        <f t="shared" si="1"/>
        <v>6.6176704527377422E-2</v>
      </c>
      <c r="T11" s="111"/>
      <c r="U11" s="112" t="s">
        <v>28</v>
      </c>
      <c r="V11" s="24"/>
      <c r="W11" s="187"/>
      <c r="X11" s="113" t="s">
        <v>29</v>
      </c>
      <c r="Y11" s="21"/>
      <c r="Z11" s="19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</row>
    <row r="12" spans="1:39" ht="21" x14ac:dyDescent="0.35">
      <c r="A12" s="174" t="s">
        <v>26</v>
      </c>
      <c r="B12" s="217" t="s">
        <v>176</v>
      </c>
      <c r="C12" s="221">
        <v>45990</v>
      </c>
      <c r="D12" s="222"/>
      <c r="E12" s="198">
        <f>9.35*J6</f>
        <v>9.35</v>
      </c>
      <c r="F12" s="194" t="s">
        <v>21</v>
      </c>
      <c r="G12" s="136"/>
      <c r="H12" s="143"/>
      <c r="I12" s="19">
        <f t="shared" si="0"/>
        <v>2.9747701313989367E-2</v>
      </c>
      <c r="J12" s="174" t="s">
        <v>167</v>
      </c>
      <c r="K12" s="217" t="s">
        <v>177</v>
      </c>
      <c r="L12" s="271">
        <v>45990</v>
      </c>
      <c r="M12" s="277"/>
      <c r="N12" s="272"/>
      <c r="O12" s="211">
        <f>18.55*J6</f>
        <v>18.55</v>
      </c>
      <c r="P12" s="135" t="s">
        <v>21</v>
      </c>
      <c r="Q12" s="136"/>
      <c r="R12" s="143"/>
      <c r="S12" s="19">
        <f t="shared" si="1"/>
        <v>5.9018166778021693E-2</v>
      </c>
      <c r="T12" s="111"/>
      <c r="U12" s="112" t="s">
        <v>31</v>
      </c>
      <c r="V12" s="24"/>
      <c r="W12" s="187"/>
      <c r="X12" s="113"/>
      <c r="Y12" s="21"/>
      <c r="Z12" s="19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</row>
    <row r="13" spans="1:39" ht="21" x14ac:dyDescent="0.35">
      <c r="A13" s="174" t="s">
        <v>30</v>
      </c>
      <c r="B13" s="217" t="s">
        <v>27</v>
      </c>
      <c r="C13" s="221">
        <v>45997</v>
      </c>
      <c r="D13" s="222"/>
      <c r="E13" s="198">
        <f>62.4*J6</f>
        <v>62.4</v>
      </c>
      <c r="F13" s="194" t="s">
        <v>21</v>
      </c>
      <c r="G13" s="136"/>
      <c r="H13" s="143"/>
      <c r="I13" s="19">
        <f t="shared" si="0"/>
        <v>0.19853011358213224</v>
      </c>
      <c r="J13" s="174" t="s">
        <v>183</v>
      </c>
      <c r="K13" s="217" t="s">
        <v>190</v>
      </c>
      <c r="L13" s="274">
        <v>45986</v>
      </c>
      <c r="M13" s="275"/>
      <c r="N13" s="276"/>
      <c r="O13" s="211">
        <f>1.45*J6</f>
        <v>1.45</v>
      </c>
      <c r="P13" s="194" t="s">
        <v>21</v>
      </c>
      <c r="Q13" s="169"/>
      <c r="R13" s="143"/>
      <c r="S13" s="19">
        <f t="shared" si="1"/>
        <v>4.6132798829181376E-3</v>
      </c>
      <c r="T13" s="111"/>
      <c r="U13" s="112" t="s">
        <v>33</v>
      </c>
      <c r="V13" s="24"/>
      <c r="W13" s="187"/>
      <c r="X13" s="113"/>
      <c r="Y13" s="21"/>
      <c r="Z13" s="19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</row>
    <row r="14" spans="1:39" ht="21.75" thickBot="1" x14ac:dyDescent="0.4">
      <c r="A14" s="174" t="s">
        <v>32</v>
      </c>
      <c r="B14" s="217" t="s">
        <v>196</v>
      </c>
      <c r="C14" s="221">
        <v>45982</v>
      </c>
      <c r="D14" s="222"/>
      <c r="E14" s="211">
        <f>5.3*J6</f>
        <v>5.3</v>
      </c>
      <c r="F14" s="135" t="s">
        <v>21</v>
      </c>
      <c r="G14" s="136"/>
      <c r="H14" s="143"/>
      <c r="I14" s="19">
        <f t="shared" si="0"/>
        <v>1.6862333365149054E-2</v>
      </c>
      <c r="J14" s="174" t="s">
        <v>184</v>
      </c>
      <c r="K14" s="217" t="s">
        <v>209</v>
      </c>
      <c r="L14" s="274">
        <v>45976</v>
      </c>
      <c r="M14" s="275"/>
      <c r="N14" s="276"/>
      <c r="O14" s="198">
        <f>30*J6</f>
        <v>30</v>
      </c>
      <c r="P14" s="194" t="s">
        <v>21</v>
      </c>
      <c r="Q14" s="169"/>
      <c r="R14" s="178"/>
      <c r="S14" s="19">
        <f t="shared" si="1"/>
        <v>9.544716999140973E-2</v>
      </c>
      <c r="T14" s="114"/>
      <c r="U14" s="115"/>
      <c r="V14" s="115"/>
      <c r="W14" s="115"/>
      <c r="X14" s="116"/>
      <c r="Y14" s="21"/>
      <c r="Z14" s="21"/>
      <c r="AA14" s="21"/>
      <c r="AB14" s="21"/>
      <c r="AC14" s="60"/>
      <c r="AD14" s="21"/>
      <c r="AE14" s="21"/>
      <c r="AF14" s="21"/>
      <c r="AG14" s="21"/>
      <c r="AH14" s="21"/>
      <c r="AI14" s="21"/>
      <c r="AJ14" s="21"/>
      <c r="AK14" s="21"/>
    </row>
    <row r="15" spans="1:39" ht="21" x14ac:dyDescent="0.35">
      <c r="A15" s="174" t="s">
        <v>34</v>
      </c>
      <c r="B15" s="217" t="s">
        <v>197</v>
      </c>
      <c r="C15" s="221">
        <v>46000</v>
      </c>
      <c r="D15" s="222"/>
      <c r="E15" s="198">
        <f>2.61*J6</f>
        <v>2.61</v>
      </c>
      <c r="F15" s="194" t="s">
        <v>21</v>
      </c>
      <c r="G15" s="136"/>
      <c r="H15" s="143"/>
      <c r="I15" s="19">
        <f t="shared" si="0"/>
        <v>8.3039037892526472E-3</v>
      </c>
      <c r="J15" s="174" t="s">
        <v>185</v>
      </c>
      <c r="K15" s="217" t="s">
        <v>173</v>
      </c>
      <c r="L15" s="271">
        <v>45976</v>
      </c>
      <c r="M15" s="277"/>
      <c r="N15" s="272"/>
      <c r="O15" s="211">
        <f>28.8*J6</f>
        <v>28.8</v>
      </c>
      <c r="P15" s="194" t="s">
        <v>21</v>
      </c>
      <c r="Q15" s="136"/>
      <c r="R15" s="143"/>
      <c r="S15" s="19">
        <f t="shared" si="1"/>
        <v>9.1629283191753355E-2</v>
      </c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</row>
    <row r="16" spans="1:39" ht="21" x14ac:dyDescent="0.25">
      <c r="A16" s="174" t="s">
        <v>35</v>
      </c>
      <c r="B16" s="217" t="s">
        <v>191</v>
      </c>
      <c r="C16" s="271">
        <v>45989</v>
      </c>
      <c r="D16" s="272"/>
      <c r="E16" s="198">
        <f>1.3*J6</f>
        <v>1.3</v>
      </c>
      <c r="F16" s="135" t="s">
        <v>21</v>
      </c>
      <c r="G16" s="136"/>
      <c r="H16" s="143"/>
      <c r="I16" s="19">
        <f t="shared" si="0"/>
        <v>4.1360440329610889E-3</v>
      </c>
      <c r="J16" s="174" t="s">
        <v>186</v>
      </c>
      <c r="K16" s="217" t="s">
        <v>211</v>
      </c>
      <c r="L16" s="271">
        <v>45951</v>
      </c>
      <c r="M16" s="277"/>
      <c r="N16" s="272"/>
      <c r="O16" s="211">
        <f>1.7*J6</f>
        <v>1.7</v>
      </c>
      <c r="P16" s="194" t="s">
        <v>21</v>
      </c>
      <c r="Q16" s="169"/>
      <c r="R16" s="143"/>
      <c r="S16" s="19">
        <f t="shared" si="1"/>
        <v>5.408672966179885E-3</v>
      </c>
      <c r="T16" s="20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</row>
    <row r="17" spans="1:39" ht="21" x14ac:dyDescent="0.25">
      <c r="A17" s="174" t="s">
        <v>182</v>
      </c>
      <c r="B17" s="217" t="s">
        <v>212</v>
      </c>
      <c r="C17" s="271">
        <v>46001</v>
      </c>
      <c r="D17" s="272"/>
      <c r="E17" s="211">
        <f>12.3*J6</f>
        <v>12.3</v>
      </c>
      <c r="F17" s="135" t="s">
        <v>21</v>
      </c>
      <c r="G17" s="136"/>
      <c r="H17" s="143"/>
      <c r="I17" s="19">
        <f t="shared" si="0"/>
        <v>3.9133339696477996E-2</v>
      </c>
      <c r="J17" s="174" t="s">
        <v>187</v>
      </c>
      <c r="K17" s="217" t="s">
        <v>215</v>
      </c>
      <c r="L17" s="271">
        <v>45971</v>
      </c>
      <c r="M17" s="277"/>
      <c r="N17" s="272"/>
      <c r="O17" s="211">
        <f>6.75*J6</f>
        <v>6.75</v>
      </c>
      <c r="P17" s="194" t="s">
        <v>21</v>
      </c>
      <c r="Q17" s="169"/>
      <c r="R17" s="143"/>
      <c r="S17" s="19">
        <f t="shared" si="1"/>
        <v>2.1475613248067189E-2</v>
      </c>
      <c r="T17" s="20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</row>
    <row r="18" spans="1:39" ht="21.75" thickBot="1" x14ac:dyDescent="0.3">
      <c r="A18" s="172" t="s">
        <v>22</v>
      </c>
      <c r="B18" s="188" t="s">
        <v>213</v>
      </c>
      <c r="C18" s="269">
        <v>45975</v>
      </c>
      <c r="D18" s="270"/>
      <c r="E18" s="214">
        <f>2.15*J6</f>
        <v>2.15</v>
      </c>
      <c r="F18" s="146" t="s">
        <v>21</v>
      </c>
      <c r="G18" s="147"/>
      <c r="H18" s="148"/>
      <c r="I18" s="19">
        <f t="shared" si="0"/>
        <v>6.840380516051031E-3</v>
      </c>
      <c r="J18" s="175" t="s">
        <v>188</v>
      </c>
      <c r="K18" s="220" t="s">
        <v>192</v>
      </c>
      <c r="L18" s="271">
        <v>45954</v>
      </c>
      <c r="M18" s="277"/>
      <c r="N18" s="272"/>
      <c r="O18" s="212">
        <f>0.08*J6</f>
        <v>0.08</v>
      </c>
      <c r="P18" s="196" t="s">
        <v>21</v>
      </c>
      <c r="Q18" s="176"/>
      <c r="R18" s="158"/>
      <c r="S18" s="19">
        <f t="shared" si="1"/>
        <v>2.5452578664375932E-4</v>
      </c>
      <c r="T18" s="20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</row>
    <row r="19" spans="1:39" ht="21.75" thickBot="1" x14ac:dyDescent="0.3">
      <c r="A19" s="159"/>
      <c r="B19" s="189"/>
      <c r="C19" s="181"/>
      <c r="D19" s="181"/>
      <c r="E19" s="182"/>
      <c r="F19" s="183"/>
      <c r="G19" s="164"/>
      <c r="H19" s="164"/>
      <c r="I19" s="19"/>
      <c r="J19" s="172" t="s">
        <v>193</v>
      </c>
      <c r="K19" s="188" t="s">
        <v>171</v>
      </c>
      <c r="L19" s="269" t="s">
        <v>210</v>
      </c>
      <c r="M19" s="273"/>
      <c r="N19" s="270"/>
      <c r="O19" s="170">
        <f>46*J6</f>
        <v>46</v>
      </c>
      <c r="P19" s="171" t="s">
        <v>21</v>
      </c>
      <c r="Q19" s="147"/>
      <c r="R19" s="148"/>
      <c r="S19" s="19">
        <f t="shared" si="1"/>
        <v>0.1463523273201616</v>
      </c>
      <c r="T19" s="20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</row>
    <row r="20" spans="1:39" ht="9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33"/>
      <c r="K20" s="133"/>
      <c r="L20" s="133"/>
      <c r="M20" s="133"/>
      <c r="N20" s="133"/>
      <c r="O20" s="133"/>
      <c r="P20" s="133"/>
      <c r="Q20" s="133"/>
      <c r="R20" s="133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6.5" thickBot="1" x14ac:dyDescent="0.3">
      <c r="A21" s="229" t="s">
        <v>37</v>
      </c>
      <c r="B21" s="230"/>
      <c r="C21" s="1"/>
      <c r="D21" s="1"/>
      <c r="E21" s="1"/>
      <c r="F21" s="1"/>
      <c r="G21" s="1"/>
      <c r="H21" s="1"/>
      <c r="I21" s="1"/>
      <c r="J21" s="6"/>
      <c r="K21" s="8" t="s">
        <v>38</v>
      </c>
      <c r="L21" s="1"/>
      <c r="M21" s="1"/>
      <c r="N21" s="1"/>
      <c r="O21" s="107"/>
      <c r="P21" s="1"/>
      <c r="Q21" s="1"/>
      <c r="R21" s="1"/>
      <c r="S21" s="94">
        <f>SUM(I10:I18,S10:S19)</f>
        <v>0.99999999999999989</v>
      </c>
      <c r="T21" s="1"/>
      <c r="U21" s="1"/>
      <c r="V21" s="1"/>
      <c r="W21" s="1"/>
      <c r="X21" s="1"/>
      <c r="Y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ht="19.5" customHeight="1" x14ac:dyDescent="0.25">
      <c r="A22" s="245" t="s">
        <v>13</v>
      </c>
      <c r="B22" s="247" t="s">
        <v>39</v>
      </c>
      <c r="C22" s="248"/>
      <c r="D22" s="248"/>
      <c r="E22" s="248"/>
      <c r="F22" s="248"/>
      <c r="G22" s="248"/>
      <c r="H22" s="249"/>
      <c r="I22" s="252" t="s">
        <v>40</v>
      </c>
      <c r="J22" s="254"/>
      <c r="K22" s="265" t="s">
        <v>41</v>
      </c>
      <c r="L22" s="266"/>
      <c r="M22" s="267"/>
      <c r="N22" s="256" t="s">
        <v>42</v>
      </c>
      <c r="O22" s="257"/>
      <c r="P22" s="258"/>
      <c r="Q22" s="243" t="s">
        <v>43</v>
      </c>
      <c r="R22" s="243" t="s">
        <v>44</v>
      </c>
      <c r="S22" s="243" t="s">
        <v>45</v>
      </c>
      <c r="T22" s="268" t="s">
        <v>46</v>
      </c>
      <c r="U22" s="247" t="s">
        <v>47</v>
      </c>
      <c r="V22" s="248"/>
      <c r="W22" s="248"/>
      <c r="X22" s="263"/>
      <c r="Y22" s="1"/>
      <c r="AF22" s="1"/>
      <c r="AG22" s="1"/>
      <c r="AH22" s="1"/>
      <c r="AI22" s="1"/>
      <c r="AJ22" s="1"/>
      <c r="AK22" s="1"/>
      <c r="AL22" s="1"/>
    </row>
    <row r="23" spans="1:39" ht="19.5" customHeight="1" thickBot="1" x14ac:dyDescent="0.3">
      <c r="A23" s="246"/>
      <c r="B23" s="250"/>
      <c r="C23" s="224"/>
      <c r="D23" s="224"/>
      <c r="E23" s="224"/>
      <c r="F23" s="224"/>
      <c r="G23" s="224"/>
      <c r="H23" s="251"/>
      <c r="I23" s="253"/>
      <c r="J23" s="255"/>
      <c r="K23" s="26" t="s">
        <v>48</v>
      </c>
      <c r="L23" s="27" t="s">
        <v>49</v>
      </c>
      <c r="M23" s="28" t="s">
        <v>50</v>
      </c>
      <c r="N23" s="28" t="s">
        <v>234</v>
      </c>
      <c r="O23" s="28" t="s">
        <v>235</v>
      </c>
      <c r="P23" s="28" t="s">
        <v>51</v>
      </c>
      <c r="Q23" s="244"/>
      <c r="R23" s="244"/>
      <c r="S23" s="244"/>
      <c r="T23" s="244"/>
      <c r="U23" s="250"/>
      <c r="V23" s="224"/>
      <c r="W23" s="224"/>
      <c r="X23" s="264"/>
      <c r="Y23" s="1"/>
      <c r="AF23" s="1"/>
      <c r="AG23" s="1"/>
      <c r="AH23" s="1"/>
      <c r="AI23" s="1"/>
      <c r="AJ23" s="1"/>
      <c r="AK23" s="1"/>
      <c r="AL23" s="1"/>
    </row>
    <row r="24" spans="1:39" ht="19.5" customHeight="1" x14ac:dyDescent="0.25">
      <c r="A24" s="96" t="s">
        <v>52</v>
      </c>
      <c r="B24" s="102" t="s">
        <v>227</v>
      </c>
      <c r="C24" s="103"/>
      <c r="D24" s="103"/>
      <c r="E24" s="103"/>
      <c r="F24" s="103"/>
      <c r="G24" s="103"/>
      <c r="H24" s="103"/>
      <c r="I24" s="29"/>
      <c r="J24" s="30"/>
      <c r="K24" s="31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4"/>
      <c r="X24" s="35"/>
      <c r="Y24" s="1"/>
      <c r="AF24" s="1"/>
      <c r="AG24" s="1"/>
      <c r="AH24" s="1"/>
      <c r="AI24" s="1"/>
      <c r="AJ24" s="1"/>
      <c r="AK24" s="1"/>
      <c r="AL24" s="1"/>
    </row>
    <row r="25" spans="1:39" ht="19.5" customHeight="1" x14ac:dyDescent="0.25">
      <c r="A25" s="99" t="s">
        <v>53</v>
      </c>
      <c r="B25" s="102" t="s">
        <v>228</v>
      </c>
      <c r="C25" s="104"/>
      <c r="D25" s="104"/>
      <c r="E25" s="104"/>
      <c r="F25" s="104"/>
      <c r="G25" s="104"/>
      <c r="H25" s="104"/>
      <c r="I25" s="37"/>
      <c r="J25" s="30"/>
      <c r="K25" s="38" t="s">
        <v>54</v>
      </c>
      <c r="L25" s="39"/>
      <c r="M25" s="39"/>
      <c r="N25" s="39"/>
      <c r="O25" s="39"/>
      <c r="P25" s="39"/>
      <c r="Q25" s="39"/>
      <c r="R25" s="39"/>
      <c r="S25" s="39"/>
      <c r="T25" s="39"/>
      <c r="U25" s="40"/>
      <c r="V25" s="36"/>
      <c r="W25" s="36"/>
      <c r="X25" s="41"/>
      <c r="Y25" s="1"/>
      <c r="AF25" s="1"/>
      <c r="AG25" s="1"/>
      <c r="AH25" s="1"/>
      <c r="AI25" s="1"/>
      <c r="AJ25" s="1"/>
      <c r="AK25" s="1"/>
      <c r="AL25" s="1"/>
    </row>
    <row r="26" spans="1:39" ht="19.5" customHeight="1" x14ac:dyDescent="0.25">
      <c r="A26" s="99" t="s">
        <v>55</v>
      </c>
      <c r="B26" s="102" t="s">
        <v>229</v>
      </c>
      <c r="C26" s="104"/>
      <c r="D26" s="104"/>
      <c r="E26" s="104"/>
      <c r="F26" s="104"/>
      <c r="G26" s="104"/>
      <c r="H26" s="104"/>
      <c r="I26" s="37"/>
      <c r="J26" s="30"/>
      <c r="K26" s="42"/>
      <c r="L26" s="43"/>
      <c r="M26" s="43"/>
      <c r="N26" s="43"/>
      <c r="O26" s="43"/>
      <c r="P26" s="43"/>
      <c r="Q26" s="43"/>
      <c r="R26" s="43"/>
      <c r="S26" s="43"/>
      <c r="T26" s="43"/>
      <c r="U26" s="44"/>
      <c r="V26" s="36"/>
      <c r="W26" s="36"/>
      <c r="X26" s="41"/>
      <c r="Y26" s="1"/>
      <c r="AF26" s="1"/>
      <c r="AG26" s="1"/>
      <c r="AH26" s="1"/>
      <c r="AI26" s="1"/>
      <c r="AJ26" s="1"/>
      <c r="AK26" s="1"/>
      <c r="AL26" s="1"/>
    </row>
    <row r="27" spans="1:39" ht="19.5" customHeight="1" x14ac:dyDescent="0.25">
      <c r="A27" s="99" t="s">
        <v>56</v>
      </c>
      <c r="B27" s="102" t="s">
        <v>221</v>
      </c>
      <c r="C27" s="104"/>
      <c r="D27" s="104"/>
      <c r="E27" s="104"/>
      <c r="F27" s="104"/>
      <c r="G27" s="104"/>
      <c r="H27" s="104"/>
      <c r="I27" s="37"/>
      <c r="J27" s="30"/>
      <c r="K27" s="42"/>
      <c r="L27" s="39"/>
      <c r="M27" s="39"/>
      <c r="N27" s="39"/>
      <c r="O27" s="39"/>
      <c r="P27" s="39"/>
      <c r="Q27" s="39"/>
      <c r="R27" s="39"/>
      <c r="S27" s="39"/>
      <c r="T27" s="39"/>
      <c r="U27" s="44"/>
      <c r="V27" s="36"/>
      <c r="W27" s="36"/>
      <c r="X27" s="41"/>
      <c r="Y27" s="1"/>
      <c r="AF27" s="1"/>
      <c r="AG27" s="1"/>
      <c r="AH27" s="1"/>
      <c r="AI27" s="1"/>
      <c r="AJ27" s="1"/>
      <c r="AK27" s="1"/>
      <c r="AL27" s="1"/>
    </row>
    <row r="28" spans="1:39" ht="19.5" customHeight="1" x14ac:dyDescent="0.25">
      <c r="A28" s="99" t="s">
        <v>57</v>
      </c>
      <c r="B28" s="102" t="s">
        <v>199</v>
      </c>
      <c r="C28" s="104"/>
      <c r="D28" s="104"/>
      <c r="E28" s="104"/>
      <c r="F28" s="104"/>
      <c r="G28" s="104"/>
      <c r="H28" s="104"/>
      <c r="I28" s="37"/>
      <c r="J28" s="30"/>
      <c r="K28" s="42"/>
      <c r="L28" s="39"/>
      <c r="M28" s="39"/>
      <c r="N28" s="39"/>
      <c r="O28" s="39"/>
      <c r="P28" s="39"/>
      <c r="Q28" s="39"/>
      <c r="R28" s="39"/>
      <c r="S28" s="39"/>
      <c r="T28" s="39"/>
      <c r="U28" s="40"/>
      <c r="V28" s="36"/>
      <c r="W28" s="36"/>
      <c r="X28" s="41"/>
      <c r="Y28" s="1"/>
      <c r="AF28" s="1"/>
      <c r="AG28" s="1"/>
      <c r="AH28" s="1"/>
      <c r="AI28" s="1"/>
      <c r="AJ28" s="1"/>
      <c r="AK28" s="1"/>
      <c r="AL28" s="1"/>
    </row>
    <row r="29" spans="1:39" ht="19.5" customHeight="1" x14ac:dyDescent="0.25">
      <c r="A29" s="99" t="s">
        <v>58</v>
      </c>
      <c r="B29" s="102" t="s">
        <v>230</v>
      </c>
      <c r="C29" s="104"/>
      <c r="D29" s="104"/>
      <c r="E29" s="104"/>
      <c r="F29" s="104"/>
      <c r="G29" s="104"/>
      <c r="H29" s="104"/>
      <c r="I29" s="37"/>
      <c r="J29" s="30"/>
      <c r="K29" s="42"/>
      <c r="L29" s="39"/>
      <c r="M29" s="39"/>
      <c r="N29" s="39"/>
      <c r="O29" s="39"/>
      <c r="P29" s="39"/>
      <c r="Q29" s="39"/>
      <c r="R29" s="39"/>
      <c r="S29" s="39"/>
      <c r="T29" s="39"/>
      <c r="U29" s="40"/>
      <c r="V29" s="36"/>
      <c r="W29" s="36"/>
      <c r="X29" s="41"/>
      <c r="Y29" s="1"/>
      <c r="AF29" s="1"/>
      <c r="AG29" s="1"/>
      <c r="AH29" s="1"/>
      <c r="AI29" s="1"/>
      <c r="AJ29" s="1"/>
      <c r="AK29" s="1"/>
      <c r="AL29" s="1"/>
    </row>
    <row r="30" spans="1:39" ht="19.5" customHeight="1" x14ac:dyDescent="0.25">
      <c r="A30" s="99" t="s">
        <v>23</v>
      </c>
      <c r="B30" s="102" t="s">
        <v>231</v>
      </c>
      <c r="C30" s="104"/>
      <c r="D30" s="104"/>
      <c r="E30" s="104"/>
      <c r="F30" s="104"/>
      <c r="G30" s="104"/>
      <c r="H30" s="104"/>
      <c r="I30" s="37"/>
      <c r="J30" s="30"/>
      <c r="K30" s="42"/>
      <c r="L30" s="39"/>
      <c r="M30" s="39"/>
      <c r="N30" s="39"/>
      <c r="O30" s="39"/>
      <c r="P30" s="39"/>
      <c r="Q30" s="39"/>
      <c r="R30" s="39"/>
      <c r="S30" s="39"/>
      <c r="T30" s="39"/>
      <c r="U30" s="40"/>
      <c r="V30" s="36"/>
      <c r="W30" s="36"/>
      <c r="X30" s="41"/>
      <c r="Y30" s="1"/>
      <c r="AF30" s="1"/>
      <c r="AG30" s="1"/>
      <c r="AH30" s="1"/>
      <c r="AI30" s="1"/>
      <c r="AJ30" s="1"/>
      <c r="AK30" s="1"/>
      <c r="AL30" s="1"/>
    </row>
    <row r="31" spans="1:39" ht="19.5" customHeight="1" x14ac:dyDescent="0.25">
      <c r="A31" s="99" t="s">
        <v>59</v>
      </c>
      <c r="B31" s="102" t="s">
        <v>198</v>
      </c>
      <c r="C31" s="104"/>
      <c r="D31" s="104"/>
      <c r="E31" s="104"/>
      <c r="F31" s="104"/>
      <c r="G31" s="104"/>
      <c r="H31" s="104"/>
      <c r="I31" s="37"/>
      <c r="J31" s="30"/>
      <c r="K31" s="42"/>
      <c r="L31" s="39"/>
      <c r="M31" s="39"/>
      <c r="N31" s="39"/>
      <c r="O31" s="39"/>
      <c r="P31" s="39"/>
      <c r="Q31" s="39"/>
      <c r="R31" s="39"/>
      <c r="S31" s="39"/>
      <c r="T31" s="39"/>
      <c r="U31" s="40"/>
      <c r="V31" s="36"/>
      <c r="W31" s="36"/>
      <c r="X31" s="41"/>
      <c r="Y31" s="1"/>
      <c r="Z31" s="1"/>
      <c r="AF31" s="1"/>
      <c r="AG31" s="1"/>
      <c r="AH31" s="1"/>
      <c r="AI31" s="1"/>
      <c r="AJ31" s="1"/>
      <c r="AK31" s="1"/>
      <c r="AL31" s="1"/>
    </row>
    <row r="32" spans="1:39" ht="18.75" customHeight="1" x14ac:dyDescent="0.25">
      <c r="A32" s="99" t="s">
        <v>60</v>
      </c>
      <c r="B32" s="102" t="s">
        <v>194</v>
      </c>
      <c r="C32" s="104"/>
      <c r="D32" s="104"/>
      <c r="E32" s="104"/>
      <c r="F32" s="104"/>
      <c r="G32" s="104"/>
      <c r="H32" s="104"/>
      <c r="I32" s="37"/>
      <c r="J32" s="1"/>
      <c r="K32" s="45"/>
      <c r="L32" s="39"/>
      <c r="M32" s="39"/>
      <c r="N32" s="39"/>
      <c r="O32" s="39"/>
      <c r="P32" s="39"/>
      <c r="Q32" s="39"/>
      <c r="R32" s="39"/>
      <c r="S32" s="39"/>
      <c r="T32" s="39"/>
      <c r="U32" s="40"/>
      <c r="V32" s="36"/>
      <c r="W32" s="36"/>
      <c r="X32" s="4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9" ht="20.25" customHeight="1" thickBot="1" x14ac:dyDescent="0.3">
      <c r="A33" s="101" t="s">
        <v>61</v>
      </c>
      <c r="B33" s="105"/>
      <c r="C33" s="106"/>
      <c r="D33" s="106"/>
      <c r="E33" s="106"/>
      <c r="F33" s="106"/>
      <c r="G33" s="106"/>
      <c r="H33" s="106"/>
      <c r="I33" s="47"/>
      <c r="J33" s="48"/>
      <c r="K33" s="26"/>
      <c r="L33" s="49"/>
      <c r="M33" s="49"/>
      <c r="N33" s="49"/>
      <c r="O33" s="49"/>
      <c r="P33" s="49"/>
      <c r="Q33" s="49"/>
      <c r="R33" s="49"/>
      <c r="S33" s="49"/>
      <c r="T33" s="49"/>
      <c r="U33" s="50"/>
      <c r="V33" s="46"/>
      <c r="W33" s="46"/>
      <c r="X33" s="5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9" ht="21" customHeight="1" thickBot="1" x14ac:dyDescent="0.3">
      <c r="A34" s="229" t="s">
        <v>62</v>
      </c>
      <c r="B34" s="230"/>
      <c r="C34" s="52"/>
      <c r="D34" s="53" t="s">
        <v>6</v>
      </c>
      <c r="E34" s="8"/>
      <c r="F34" s="7" t="s">
        <v>63</v>
      </c>
      <c r="G34" s="1"/>
      <c r="H34" s="12"/>
      <c r="I34" s="12"/>
      <c r="J34" s="1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7.25" customHeight="1" x14ac:dyDescent="0.25">
      <c r="A35" s="8" t="s">
        <v>64</v>
      </c>
      <c r="B35" s="1"/>
      <c r="C35" s="36"/>
      <c r="D35" s="36"/>
      <c r="E35" s="1"/>
      <c r="F35" s="133"/>
      <c r="G35" s="133"/>
      <c r="H35" s="165"/>
      <c r="I35" s="165"/>
      <c r="J35" s="1"/>
      <c r="K35" s="1"/>
      <c r="L35" s="55" t="s">
        <v>65</v>
      </c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7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9" ht="19.5" customHeight="1" x14ac:dyDescent="0.25">
      <c r="A36" s="8" t="s">
        <v>66</v>
      </c>
      <c r="B36" s="1"/>
      <c r="C36" s="36"/>
      <c r="D36" s="36"/>
      <c r="E36" s="1"/>
      <c r="F36" s="167" t="s">
        <v>200</v>
      </c>
      <c r="G36" s="166">
        <v>42</v>
      </c>
      <c r="H36" s="166" t="s">
        <v>204</v>
      </c>
      <c r="I36" s="166" t="s">
        <v>219</v>
      </c>
      <c r="J36" s="1"/>
      <c r="K36" s="1"/>
      <c r="L36" s="58" t="s">
        <v>67</v>
      </c>
      <c r="M36" s="1"/>
      <c r="N36" s="1"/>
      <c r="O36" s="1"/>
      <c r="P36" s="1"/>
      <c r="Q36" s="1"/>
      <c r="R36" s="1"/>
      <c r="S36" s="1"/>
      <c r="T36" s="3" t="s">
        <v>68</v>
      </c>
      <c r="U36" s="3"/>
      <c r="V36" s="3"/>
      <c r="W36" s="3"/>
      <c r="X36" s="59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9" ht="15.75" customHeight="1" x14ac:dyDescent="0.25">
      <c r="A37" s="8" t="s">
        <v>69</v>
      </c>
      <c r="C37" s="36"/>
      <c r="D37" s="36"/>
      <c r="E37" s="1"/>
      <c r="F37" s="167" t="s">
        <v>201</v>
      </c>
      <c r="G37" s="168" t="s">
        <v>207</v>
      </c>
      <c r="H37" s="167" t="s">
        <v>205</v>
      </c>
      <c r="I37" s="166" t="s">
        <v>206</v>
      </c>
      <c r="J37" s="54"/>
      <c r="K37" s="1"/>
      <c r="L37" s="30" t="s">
        <v>232</v>
      </c>
      <c r="M37" s="1"/>
      <c r="N37" s="1"/>
      <c r="O37" s="1"/>
      <c r="P37" s="1"/>
      <c r="Q37" s="1"/>
      <c r="R37" s="1"/>
      <c r="S37" s="1"/>
      <c r="T37" s="1" t="s">
        <v>71</v>
      </c>
      <c r="U37" s="1"/>
      <c r="V37" s="1"/>
      <c r="W37" s="1"/>
      <c r="X37" s="48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9" ht="17.25" customHeight="1" x14ac:dyDescent="0.25">
      <c r="B38" s="1"/>
      <c r="C38" s="1"/>
      <c r="D38" s="1"/>
      <c r="E38" s="1"/>
      <c r="F38" s="166" t="s">
        <v>202</v>
      </c>
      <c r="G38" s="168" t="s">
        <v>203</v>
      </c>
      <c r="H38" s="166"/>
      <c r="I38" s="166"/>
      <c r="J38" s="1"/>
      <c r="K38" s="1"/>
      <c r="L38" s="30" t="s">
        <v>72</v>
      </c>
      <c r="M38" s="1"/>
      <c r="N38" s="1"/>
      <c r="O38" s="1"/>
      <c r="P38" s="1"/>
      <c r="Q38" s="1"/>
      <c r="R38" s="1"/>
      <c r="S38" s="1"/>
      <c r="T38" s="1" t="s">
        <v>73</v>
      </c>
      <c r="U38" s="1"/>
      <c r="V38" s="1"/>
      <c r="W38" s="1"/>
      <c r="X38" s="48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9" ht="19.5" customHeight="1" thickBot="1" x14ac:dyDescent="0.3">
      <c r="A39" s="60" t="s">
        <v>74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58" t="s">
        <v>75</v>
      </c>
      <c r="M39" s="1"/>
      <c r="N39" s="1"/>
      <c r="O39" s="1"/>
      <c r="P39" s="1"/>
      <c r="Q39" s="1"/>
      <c r="R39" s="1"/>
      <c r="S39" s="1"/>
      <c r="T39" s="1" t="s">
        <v>76</v>
      </c>
      <c r="U39" s="1"/>
      <c r="V39" s="1"/>
      <c r="W39" s="1"/>
      <c r="X39" s="48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9" ht="19.5" customHeight="1" x14ac:dyDescent="0.25">
      <c r="A40" s="61"/>
      <c r="B40" s="62" t="s">
        <v>77</v>
      </c>
      <c r="C40" s="34"/>
      <c r="D40" s="63" t="s">
        <v>78</v>
      </c>
      <c r="E40" s="56"/>
      <c r="F40" s="62" t="s">
        <v>79</v>
      </c>
      <c r="G40" s="56"/>
      <c r="H40" s="34"/>
      <c r="I40" s="63" t="s">
        <v>80</v>
      </c>
      <c r="J40" s="64"/>
      <c r="K40" s="65"/>
      <c r="L40" s="30" t="s">
        <v>81</v>
      </c>
      <c r="M40" s="1"/>
      <c r="N40" s="1"/>
      <c r="O40" s="1"/>
      <c r="P40" s="1"/>
      <c r="Q40" s="1"/>
      <c r="R40" s="1"/>
      <c r="S40" s="1"/>
      <c r="T40" s="1" t="s">
        <v>82</v>
      </c>
      <c r="U40" s="1"/>
      <c r="V40" s="1"/>
      <c r="W40" s="1"/>
      <c r="X40" s="48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9" ht="19.5" customHeight="1" x14ac:dyDescent="0.25">
      <c r="A41" s="66"/>
      <c r="B41" s="67" t="s">
        <v>83</v>
      </c>
      <c r="C41" s="36"/>
      <c r="D41" s="36"/>
      <c r="E41" s="1"/>
      <c r="F41" s="67" t="s">
        <v>84</v>
      </c>
      <c r="G41" s="1"/>
      <c r="H41" s="36"/>
      <c r="I41" s="68" t="s">
        <v>85</v>
      </c>
      <c r="J41" s="69"/>
      <c r="K41" s="65"/>
      <c r="L41" s="30" t="s">
        <v>86</v>
      </c>
      <c r="M41" s="1"/>
      <c r="N41" s="1"/>
      <c r="O41" s="1"/>
      <c r="P41" s="1"/>
      <c r="Q41" s="1"/>
      <c r="R41" s="1"/>
      <c r="S41" s="1"/>
      <c r="T41" s="1" t="s">
        <v>87</v>
      </c>
      <c r="U41" s="1"/>
      <c r="V41" s="1"/>
      <c r="W41" s="1"/>
      <c r="X41" s="48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9" ht="19.5" customHeight="1" x14ac:dyDescent="0.25">
      <c r="A42" s="66"/>
      <c r="B42" s="67" t="s">
        <v>88</v>
      </c>
      <c r="C42" s="36"/>
      <c r="D42" s="36"/>
      <c r="E42" s="1"/>
      <c r="F42" s="67" t="s">
        <v>89</v>
      </c>
      <c r="G42" s="1"/>
      <c r="H42" s="36"/>
      <c r="I42" s="68" t="s">
        <v>90</v>
      </c>
      <c r="J42" s="69"/>
      <c r="K42" s="65"/>
      <c r="L42" s="70" t="s">
        <v>91</v>
      </c>
      <c r="M42" s="1"/>
      <c r="N42" s="1"/>
      <c r="O42" s="1"/>
      <c r="P42" s="1"/>
      <c r="Q42" s="1"/>
      <c r="R42" s="1"/>
      <c r="S42" s="1"/>
      <c r="T42" s="1" t="s">
        <v>92</v>
      </c>
      <c r="U42" s="1"/>
      <c r="V42" s="1"/>
      <c r="W42" s="1"/>
      <c r="X42" s="48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9" ht="19.5" customHeight="1" x14ac:dyDescent="0.25">
      <c r="A43" s="66"/>
      <c r="B43" s="67" t="s">
        <v>93</v>
      </c>
      <c r="C43" s="36"/>
      <c r="D43" s="36"/>
      <c r="E43" s="1"/>
      <c r="F43" s="67" t="s">
        <v>94</v>
      </c>
      <c r="G43" s="2"/>
      <c r="H43" s="241" t="s">
        <v>95</v>
      </c>
      <c r="I43" s="242"/>
      <c r="J43" s="48"/>
      <c r="K43" s="65"/>
      <c r="L43" s="30" t="s">
        <v>96</v>
      </c>
      <c r="M43" s="1"/>
      <c r="N43" s="1"/>
      <c r="O43" s="1"/>
      <c r="P43" s="1"/>
      <c r="Q43" s="1"/>
      <c r="R43" s="1"/>
      <c r="S43" s="1"/>
      <c r="T43" s="1" t="s">
        <v>97</v>
      </c>
      <c r="U43" s="1"/>
      <c r="V43" s="1"/>
      <c r="W43" s="1"/>
      <c r="X43" s="48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9" ht="33" customHeight="1" x14ac:dyDescent="0.25">
      <c r="A44" s="66"/>
      <c r="B44" s="67" t="s">
        <v>63</v>
      </c>
      <c r="C44" s="36"/>
      <c r="D44" s="36"/>
      <c r="E44" s="1"/>
      <c r="F44" s="67" t="s">
        <v>66</v>
      </c>
      <c r="G44" s="60"/>
      <c r="H44" s="71"/>
      <c r="I44" s="36"/>
      <c r="J44" s="48"/>
      <c r="K44" s="65"/>
      <c r="L44" s="58" t="s">
        <v>98</v>
      </c>
      <c r="M44" s="1"/>
      <c r="N44" s="1"/>
      <c r="O44" s="1"/>
      <c r="P44" s="1"/>
      <c r="Q44" s="1"/>
      <c r="R44" s="1"/>
      <c r="S44" s="1"/>
      <c r="T44" s="259" t="s">
        <v>99</v>
      </c>
      <c r="U44" s="259"/>
      <c r="V44" s="259"/>
      <c r="W44" s="259"/>
      <c r="X44" s="260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9" ht="44.25" customHeight="1" thickBot="1" x14ac:dyDescent="0.35">
      <c r="A45" s="72"/>
      <c r="B45" s="190" t="s">
        <v>100</v>
      </c>
      <c r="C45" s="191" t="s">
        <v>95</v>
      </c>
      <c r="D45" s="192"/>
      <c r="E45" s="76"/>
      <c r="F45" s="77"/>
      <c r="G45" s="76"/>
      <c r="H45" s="76"/>
      <c r="I45" s="76"/>
      <c r="J45" s="78"/>
      <c r="K45" s="65"/>
      <c r="L45" s="79" t="s">
        <v>233</v>
      </c>
      <c r="M45" s="80"/>
      <c r="N45" s="80"/>
      <c r="O45" s="80"/>
      <c r="P45" s="80"/>
      <c r="Q45" s="80"/>
      <c r="R45" s="80"/>
      <c r="S45" s="80"/>
      <c r="T45" s="261" t="s">
        <v>102</v>
      </c>
      <c r="U45" s="261"/>
      <c r="V45" s="261"/>
      <c r="W45" s="261"/>
      <c r="X45" s="262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9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 spans="1:39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 spans="1:39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 spans="1:39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 spans="1:39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  <row r="1001" spans="1:39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</row>
    <row r="1002" spans="1:39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</row>
    <row r="1003" spans="1:39" ht="15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</row>
  </sheetData>
  <mergeCells count="48">
    <mergeCell ref="L18:N18"/>
    <mergeCell ref="L17:N17"/>
    <mergeCell ref="L9:N9"/>
    <mergeCell ref="L10:N10"/>
    <mergeCell ref="L11:N11"/>
    <mergeCell ref="L12:N12"/>
    <mergeCell ref="L13:N13"/>
    <mergeCell ref="T44:X44"/>
    <mergeCell ref="T45:X45"/>
    <mergeCell ref="C14:D14"/>
    <mergeCell ref="C15:D15"/>
    <mergeCell ref="U22:X23"/>
    <mergeCell ref="K22:M22"/>
    <mergeCell ref="Q22:Q23"/>
    <mergeCell ref="T22:T23"/>
    <mergeCell ref="S22:S23"/>
    <mergeCell ref="C18:D18"/>
    <mergeCell ref="C17:D17"/>
    <mergeCell ref="C16:D16"/>
    <mergeCell ref="L19:N19"/>
    <mergeCell ref="L14:N14"/>
    <mergeCell ref="L15:N15"/>
    <mergeCell ref="L16:N16"/>
    <mergeCell ref="A34:B34"/>
    <mergeCell ref="H43:I43"/>
    <mergeCell ref="R22:R23"/>
    <mergeCell ref="A21:B21"/>
    <mergeCell ref="A22:A23"/>
    <mergeCell ref="B22:H23"/>
    <mergeCell ref="I22:I23"/>
    <mergeCell ref="J22:J23"/>
    <mergeCell ref="N22:P22"/>
    <mergeCell ref="A3:B3"/>
    <mergeCell ref="C3:D3"/>
    <mergeCell ref="J3:K3"/>
    <mergeCell ref="A2:X2"/>
    <mergeCell ref="A1:X1"/>
    <mergeCell ref="A5:B5"/>
    <mergeCell ref="J5:K5"/>
    <mergeCell ref="A6:B6"/>
    <mergeCell ref="C6:D6"/>
    <mergeCell ref="J6:K6"/>
    <mergeCell ref="C13:D13"/>
    <mergeCell ref="A8:B8"/>
    <mergeCell ref="C9:D9"/>
    <mergeCell ref="C10:D10"/>
    <mergeCell ref="C11:D11"/>
    <mergeCell ref="C12:D12"/>
  </mergeCells>
  <printOptions horizontalCentered="1" verticalCentered="1"/>
  <pageMargins left="0.23622047244094491" right="0.23622047244094491" top="0.74803149606299213" bottom="0.74803149606299213" header="0" footer="0"/>
  <pageSetup paperSize="9" scale="47" orientation="landscape" r:id="rId1"/>
  <headerFooter>
    <oddHeader>&amp;LFORM NO: PROD-PR-01-A&amp;RREV. 01(23/10/25)</oddHeader>
    <oddFooter>&amp;Rremark: the total weigh of ingredient is same as a raw net weight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DFCE5-3D7B-4B2A-8032-0F860D9D3ED0}">
  <sheetPr>
    <pageSetUpPr fitToPage="1"/>
  </sheetPr>
  <dimension ref="A1:X46"/>
  <sheetViews>
    <sheetView zoomScale="110" zoomScaleNormal="110" zoomScaleSheetLayoutView="100" zoomScalePageLayoutView="64" workbookViewId="0">
      <selection activeCell="G16" sqref="G16"/>
    </sheetView>
  </sheetViews>
  <sheetFormatPr defaultRowHeight="14.25" x14ac:dyDescent="0.2"/>
  <cols>
    <col min="2" max="2" width="9.5" customWidth="1"/>
    <col min="5" max="5" width="10.375" customWidth="1"/>
    <col min="8" max="8" width="25.5" customWidth="1"/>
    <col min="9" max="9" width="10.875" customWidth="1"/>
    <col min="11" max="11" width="9.625" customWidth="1"/>
    <col min="14" max="14" width="10.375" customWidth="1"/>
    <col min="20" max="20" width="12" customWidth="1"/>
  </cols>
  <sheetData>
    <row r="1" spans="1:24" ht="23.25" x14ac:dyDescent="0.2">
      <c r="A1" s="240" t="s">
        <v>0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</row>
    <row r="2" spans="1:24" ht="18.75" x14ac:dyDescent="0.2">
      <c r="A2" s="239" t="s">
        <v>1</v>
      </c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5"/>
    </row>
    <row r="3" spans="1:24" ht="21" x14ac:dyDescent="0.2">
      <c r="A3" s="229" t="s">
        <v>2</v>
      </c>
      <c r="B3" s="285"/>
      <c r="C3" s="236">
        <v>45976</v>
      </c>
      <c r="D3" s="286"/>
      <c r="E3" s="4"/>
      <c r="F3" s="5"/>
      <c r="G3" s="6"/>
      <c r="H3" s="6"/>
      <c r="I3" s="7" t="s">
        <v>3</v>
      </c>
      <c r="J3" s="287" t="s">
        <v>236</v>
      </c>
      <c r="K3" s="288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x14ac:dyDescent="0.2">
      <c r="A4" s="3"/>
      <c r="B4" s="3"/>
      <c r="C4" s="5"/>
      <c r="D4" s="5"/>
      <c r="E4" s="5"/>
      <c r="F4" s="5"/>
      <c r="G4" s="8"/>
      <c r="H4" s="8"/>
      <c r="I4" s="8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21" x14ac:dyDescent="0.2">
      <c r="A5" s="229" t="s">
        <v>4</v>
      </c>
      <c r="B5" s="285"/>
      <c r="C5" s="9" t="s">
        <v>216</v>
      </c>
      <c r="D5" s="4"/>
      <c r="E5" s="4"/>
      <c r="F5" s="4"/>
      <c r="G5" s="6"/>
      <c r="H5" s="6"/>
      <c r="I5" s="7" t="s">
        <v>5</v>
      </c>
      <c r="J5" s="231">
        <f>SUM(E10:E18,N10:N19)</f>
        <v>314.31000000000006</v>
      </c>
      <c r="K5" s="289"/>
      <c r="L5" s="6" t="s">
        <v>6</v>
      </c>
      <c r="M5" s="8"/>
      <c r="N5" s="7" t="s">
        <v>7</v>
      </c>
      <c r="O5" s="10"/>
      <c r="P5" s="11"/>
      <c r="Q5" s="11"/>
      <c r="R5" s="8"/>
      <c r="S5" s="6"/>
      <c r="T5" s="7" t="s">
        <v>8</v>
      </c>
      <c r="U5" s="10"/>
      <c r="V5" s="11"/>
      <c r="W5" s="12"/>
      <c r="X5" s="1"/>
    </row>
    <row r="6" spans="1:24" ht="21" x14ac:dyDescent="0.2">
      <c r="A6" s="229" t="s">
        <v>9</v>
      </c>
      <c r="B6" s="285"/>
      <c r="C6" s="233">
        <f>C3</f>
        <v>45976</v>
      </c>
      <c r="D6" s="289"/>
      <c r="E6" s="13" t="s">
        <v>168</v>
      </c>
      <c r="F6" s="95" t="str">
        <f>J3</f>
        <v>C7-2</v>
      </c>
      <c r="G6" s="6"/>
      <c r="H6" s="6"/>
      <c r="I6" s="7" t="s">
        <v>10</v>
      </c>
      <c r="J6" s="234">
        <v>1</v>
      </c>
      <c r="K6" s="290"/>
      <c r="L6" s="14"/>
      <c r="M6" s="8"/>
      <c r="N6" s="7" t="s">
        <v>11</v>
      </c>
      <c r="O6" s="10"/>
      <c r="P6" s="11"/>
      <c r="Q6" s="11"/>
      <c r="R6" s="8"/>
      <c r="S6" s="1"/>
      <c r="T6" s="6"/>
      <c r="U6" s="6"/>
      <c r="V6" s="6"/>
      <c r="W6" s="6"/>
      <c r="X6" s="6"/>
    </row>
    <row r="7" spans="1:24" ht="1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6.5" thickBot="1" x14ac:dyDescent="0.25">
      <c r="A8" s="223" t="s">
        <v>12</v>
      </c>
      <c r="B8" s="29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5"/>
      <c r="T8" s="15" t="s">
        <v>19</v>
      </c>
      <c r="U8" s="16"/>
      <c r="V8" s="16"/>
      <c r="W8" s="16"/>
      <c r="X8" s="17"/>
    </row>
    <row r="9" spans="1:24" ht="26.25" thickBot="1" x14ac:dyDescent="0.25">
      <c r="A9" s="117" t="s">
        <v>13</v>
      </c>
      <c r="B9" s="118" t="s">
        <v>14</v>
      </c>
      <c r="C9" s="247" t="s">
        <v>15</v>
      </c>
      <c r="D9" s="284"/>
      <c r="E9" s="119" t="s">
        <v>16</v>
      </c>
      <c r="F9" s="120" t="s">
        <v>17</v>
      </c>
      <c r="G9" s="152" t="s">
        <v>18</v>
      </c>
      <c r="H9" s="153" t="s">
        <v>180</v>
      </c>
      <c r="I9" s="5"/>
      <c r="J9" s="117" t="s">
        <v>13</v>
      </c>
      <c r="K9" s="118" t="s">
        <v>14</v>
      </c>
      <c r="L9" s="247" t="s">
        <v>15</v>
      </c>
      <c r="M9" s="284"/>
      <c r="N9" s="119" t="s">
        <v>16</v>
      </c>
      <c r="O9" s="119" t="s">
        <v>17</v>
      </c>
      <c r="P9" s="152" t="s">
        <v>18</v>
      </c>
      <c r="Q9" s="153" t="s">
        <v>180</v>
      </c>
      <c r="S9" s="108"/>
      <c r="T9" s="109"/>
      <c r="U9" s="109"/>
      <c r="V9" s="109"/>
      <c r="W9" s="110"/>
      <c r="X9" s="18"/>
    </row>
    <row r="10" spans="1:24" ht="21" x14ac:dyDescent="0.3">
      <c r="A10" s="137" t="s">
        <v>20</v>
      </c>
      <c r="B10" s="203" t="s">
        <v>218</v>
      </c>
      <c r="C10" s="292">
        <v>45953</v>
      </c>
      <c r="D10" s="293"/>
      <c r="E10" s="197">
        <f>49.6*J6</f>
        <v>49.6</v>
      </c>
      <c r="F10" s="139" t="s">
        <v>21</v>
      </c>
      <c r="G10" s="140"/>
      <c r="H10" s="141"/>
      <c r="I10" s="19">
        <f t="shared" ref="I10:I18" si="0">(E10/$J$5)</f>
        <v>0.15780598771913076</v>
      </c>
      <c r="J10" s="137" t="s">
        <v>24</v>
      </c>
      <c r="K10" s="207" t="s">
        <v>214</v>
      </c>
      <c r="L10" s="292">
        <v>45957</v>
      </c>
      <c r="M10" s="293"/>
      <c r="N10" s="138">
        <f>9.11*J6</f>
        <v>9.11</v>
      </c>
      <c r="O10" s="139" t="s">
        <v>21</v>
      </c>
      <c r="P10" s="140"/>
      <c r="Q10" s="141"/>
      <c r="R10" s="19">
        <f t="shared" ref="R10:R19" si="1">(N10/$J$5)</f>
        <v>2.8984123954058087E-2</v>
      </c>
      <c r="S10" s="111"/>
      <c r="T10" s="112" t="s">
        <v>25</v>
      </c>
      <c r="U10" s="22">
        <f>FLOOR(($J$5*85%)/0.2,1)</f>
        <v>1335</v>
      </c>
      <c r="V10" s="23"/>
      <c r="W10" s="113" t="s">
        <v>217</v>
      </c>
      <c r="X10" s="21"/>
    </row>
    <row r="11" spans="1:24" ht="21" x14ac:dyDescent="0.3">
      <c r="A11" s="142" t="s">
        <v>169</v>
      </c>
      <c r="B11" s="204" t="s">
        <v>189</v>
      </c>
      <c r="C11" s="294">
        <v>45960</v>
      </c>
      <c r="D11" s="295"/>
      <c r="E11" s="198">
        <f>6.06*J6</f>
        <v>6.06</v>
      </c>
      <c r="F11" s="135" t="s">
        <v>21</v>
      </c>
      <c r="G11" s="136"/>
      <c r="H11" s="143"/>
      <c r="I11" s="19">
        <f t="shared" si="0"/>
        <v>1.9280328338264766E-2</v>
      </c>
      <c r="J11" s="142" t="s">
        <v>166</v>
      </c>
      <c r="K11" s="205" t="s">
        <v>175</v>
      </c>
      <c r="L11" s="294">
        <v>45960</v>
      </c>
      <c r="M11" s="295"/>
      <c r="N11" s="134">
        <f>20.8*J6</f>
        <v>20.8</v>
      </c>
      <c r="O11" s="135" t="s">
        <v>21</v>
      </c>
      <c r="P11" s="136"/>
      <c r="Q11" s="143"/>
      <c r="R11" s="19">
        <f t="shared" si="1"/>
        <v>6.6176704527377422E-2</v>
      </c>
      <c r="S11" s="111"/>
      <c r="T11" s="112" t="s">
        <v>28</v>
      </c>
      <c r="U11" s="24"/>
      <c r="V11" s="25"/>
      <c r="W11" s="113" t="s">
        <v>29</v>
      </c>
      <c r="X11" s="21"/>
    </row>
    <row r="12" spans="1:24" ht="21" x14ac:dyDescent="0.3">
      <c r="A12" s="142" t="s">
        <v>26</v>
      </c>
      <c r="B12" s="205" t="s">
        <v>176</v>
      </c>
      <c r="C12" s="294">
        <v>45972</v>
      </c>
      <c r="D12" s="295"/>
      <c r="E12" s="198">
        <f>9.35*J6</f>
        <v>9.35</v>
      </c>
      <c r="F12" s="135" t="s">
        <v>21</v>
      </c>
      <c r="G12" s="136"/>
      <c r="H12" s="143"/>
      <c r="I12" s="19">
        <f t="shared" si="0"/>
        <v>2.9747701313989367E-2</v>
      </c>
      <c r="J12" s="142" t="s">
        <v>167</v>
      </c>
      <c r="K12" s="205" t="s">
        <v>177</v>
      </c>
      <c r="L12" s="294">
        <v>45960</v>
      </c>
      <c r="M12" s="296"/>
      <c r="N12" s="134">
        <f>18.55*J6</f>
        <v>18.55</v>
      </c>
      <c r="O12" s="135" t="s">
        <v>21</v>
      </c>
      <c r="P12" s="136"/>
      <c r="Q12" s="143"/>
      <c r="R12" s="19">
        <f t="shared" si="1"/>
        <v>5.9018166778021693E-2</v>
      </c>
      <c r="S12" s="111"/>
      <c r="T12" s="112" t="s">
        <v>31</v>
      </c>
      <c r="U12" s="24"/>
      <c r="V12" s="25"/>
      <c r="W12" s="113"/>
      <c r="X12" s="21"/>
    </row>
    <row r="13" spans="1:24" ht="21" x14ac:dyDescent="0.3">
      <c r="A13" s="142" t="s">
        <v>30</v>
      </c>
      <c r="B13" s="210" t="s">
        <v>27</v>
      </c>
      <c r="C13" s="297">
        <v>45968</v>
      </c>
      <c r="D13" s="298"/>
      <c r="E13" s="198">
        <f>62.4*J6</f>
        <v>62.4</v>
      </c>
      <c r="F13" s="135" t="s">
        <v>21</v>
      </c>
      <c r="G13" s="136"/>
      <c r="H13" s="143"/>
      <c r="I13" s="19">
        <f t="shared" si="0"/>
        <v>0.19853011358213224</v>
      </c>
      <c r="J13" s="142" t="s">
        <v>183</v>
      </c>
      <c r="K13" s="205" t="s">
        <v>190</v>
      </c>
      <c r="L13" s="299">
        <v>45969</v>
      </c>
      <c r="M13" s="295"/>
      <c r="N13" s="134">
        <f>1.45*J6</f>
        <v>1.45</v>
      </c>
      <c r="O13" s="135" t="s">
        <v>21</v>
      </c>
      <c r="P13" s="136"/>
      <c r="Q13" s="143"/>
      <c r="R13" s="19">
        <f t="shared" si="1"/>
        <v>4.6132798829181376E-3</v>
      </c>
      <c r="S13" s="111"/>
      <c r="T13" s="112" t="s">
        <v>33</v>
      </c>
      <c r="U13" s="24"/>
      <c r="V13" s="25"/>
      <c r="W13" s="113"/>
      <c r="X13" s="21"/>
    </row>
    <row r="14" spans="1:24" ht="21.75" thickBot="1" x14ac:dyDescent="0.35">
      <c r="A14" s="142" t="s">
        <v>32</v>
      </c>
      <c r="B14" s="205" t="s">
        <v>196</v>
      </c>
      <c r="C14" s="294">
        <v>45939</v>
      </c>
      <c r="D14" s="295"/>
      <c r="E14" s="198">
        <f>5.3*J6</f>
        <v>5.3</v>
      </c>
      <c r="F14" s="135" t="s">
        <v>21</v>
      </c>
      <c r="G14" s="136"/>
      <c r="H14" s="143"/>
      <c r="I14" s="19">
        <f t="shared" si="0"/>
        <v>1.6862333365149054E-2</v>
      </c>
      <c r="J14" s="142" t="s">
        <v>184</v>
      </c>
      <c r="K14" s="205" t="s">
        <v>209</v>
      </c>
      <c r="L14" s="299">
        <v>45954</v>
      </c>
      <c r="M14" s="295"/>
      <c r="N14" s="134">
        <f>30*J6</f>
        <v>30</v>
      </c>
      <c r="O14" s="135" t="s">
        <v>21</v>
      </c>
      <c r="P14" s="136"/>
      <c r="Q14" s="143"/>
      <c r="R14" s="19">
        <f t="shared" si="1"/>
        <v>9.544716999140973E-2</v>
      </c>
      <c r="S14" s="114"/>
      <c r="T14" s="115"/>
      <c r="U14" s="115"/>
      <c r="V14" s="115"/>
      <c r="W14" s="116"/>
      <c r="X14" s="21"/>
    </row>
    <row r="15" spans="1:24" ht="21" x14ac:dyDescent="0.3">
      <c r="A15" s="142" t="s">
        <v>34</v>
      </c>
      <c r="B15" s="205" t="s">
        <v>197</v>
      </c>
      <c r="C15" s="294">
        <v>45974</v>
      </c>
      <c r="D15" s="295"/>
      <c r="E15" s="198">
        <f>2.61*J6</f>
        <v>2.61</v>
      </c>
      <c r="F15" s="135" t="s">
        <v>21</v>
      </c>
      <c r="G15" s="136"/>
      <c r="H15" s="143"/>
      <c r="I15" s="19">
        <f t="shared" si="0"/>
        <v>8.3039037892526472E-3</v>
      </c>
      <c r="J15" s="142" t="s">
        <v>185</v>
      </c>
      <c r="K15" s="205" t="s">
        <v>173</v>
      </c>
      <c r="L15" s="294">
        <v>45945</v>
      </c>
      <c r="M15" s="295"/>
      <c r="N15" s="134">
        <f>28.8*J6</f>
        <v>28.8</v>
      </c>
      <c r="O15" s="135" t="s">
        <v>21</v>
      </c>
      <c r="P15" s="136"/>
      <c r="Q15" s="143"/>
      <c r="R15" s="19">
        <f t="shared" si="1"/>
        <v>9.1629283191753355E-2</v>
      </c>
      <c r="S15" s="21"/>
      <c r="T15" s="21"/>
      <c r="U15" s="21"/>
      <c r="V15" s="21"/>
      <c r="W15" s="21"/>
      <c r="X15" s="21"/>
    </row>
    <row r="16" spans="1:24" ht="21" x14ac:dyDescent="0.2">
      <c r="A16" s="142" t="s">
        <v>35</v>
      </c>
      <c r="B16" s="205" t="s">
        <v>191</v>
      </c>
      <c r="C16" s="300">
        <v>45971</v>
      </c>
      <c r="D16" s="301"/>
      <c r="E16" s="198">
        <f>1.3*J6</f>
        <v>1.3</v>
      </c>
      <c r="F16" s="135" t="s">
        <v>21</v>
      </c>
      <c r="G16" s="136"/>
      <c r="H16" s="143"/>
      <c r="I16" s="19">
        <f t="shared" si="0"/>
        <v>4.1360440329610889E-3</v>
      </c>
      <c r="J16" s="142" t="s">
        <v>186</v>
      </c>
      <c r="K16" s="205" t="s">
        <v>211</v>
      </c>
      <c r="L16" s="300">
        <v>45932</v>
      </c>
      <c r="M16" s="301"/>
      <c r="N16" s="134">
        <f>1.7*J6</f>
        <v>1.7</v>
      </c>
      <c r="O16" s="135" t="s">
        <v>21</v>
      </c>
      <c r="P16" s="136"/>
      <c r="Q16" s="143"/>
      <c r="R16" s="19">
        <f t="shared" si="1"/>
        <v>5.408672966179885E-3</v>
      </c>
      <c r="S16" s="20"/>
      <c r="T16" s="21"/>
      <c r="U16" s="21"/>
      <c r="V16" s="21"/>
      <c r="W16" s="21"/>
      <c r="X16" s="21"/>
    </row>
    <row r="17" spans="1:24" ht="21" x14ac:dyDescent="0.2">
      <c r="A17" s="142" t="s">
        <v>182</v>
      </c>
      <c r="B17" s="205" t="s">
        <v>212</v>
      </c>
      <c r="C17" s="300">
        <v>45931</v>
      </c>
      <c r="D17" s="301"/>
      <c r="E17" s="198">
        <f>12.3*J6</f>
        <v>12.3</v>
      </c>
      <c r="F17" s="135" t="s">
        <v>21</v>
      </c>
      <c r="G17" s="136"/>
      <c r="H17" s="143"/>
      <c r="I17" s="19">
        <f t="shared" si="0"/>
        <v>3.9133339696477996E-2</v>
      </c>
      <c r="J17" s="142" t="s">
        <v>187</v>
      </c>
      <c r="K17" s="205" t="s">
        <v>215</v>
      </c>
      <c r="L17" s="300">
        <v>45958</v>
      </c>
      <c r="M17" s="301"/>
      <c r="N17" s="134">
        <f>6.75*J6</f>
        <v>6.75</v>
      </c>
      <c r="O17" s="135" t="s">
        <v>21</v>
      </c>
      <c r="P17" s="136"/>
      <c r="Q17" s="143"/>
      <c r="R17" s="19">
        <f t="shared" si="1"/>
        <v>2.1475613248067189E-2</v>
      </c>
      <c r="S17" s="20"/>
      <c r="T17" s="21"/>
      <c r="U17" s="21"/>
      <c r="V17" s="21"/>
      <c r="W17" s="21"/>
      <c r="X17" s="21"/>
    </row>
    <row r="18" spans="1:24" ht="21.75" thickBot="1" x14ac:dyDescent="0.25">
      <c r="A18" s="144" t="s">
        <v>22</v>
      </c>
      <c r="B18" s="206" t="s">
        <v>213</v>
      </c>
      <c r="C18" s="302">
        <v>45957</v>
      </c>
      <c r="D18" s="303"/>
      <c r="E18" s="199">
        <f>2.15*J6</f>
        <v>2.15</v>
      </c>
      <c r="F18" s="146" t="s">
        <v>21</v>
      </c>
      <c r="G18" s="147"/>
      <c r="H18" s="148"/>
      <c r="I18" s="19">
        <f t="shared" si="0"/>
        <v>6.840380516051031E-3</v>
      </c>
      <c r="J18" s="157" t="s">
        <v>188</v>
      </c>
      <c r="K18" s="208" t="s">
        <v>192</v>
      </c>
      <c r="L18" s="304">
        <v>45825</v>
      </c>
      <c r="M18" s="305"/>
      <c r="N18" s="200">
        <f>0.08*J6</f>
        <v>0.08</v>
      </c>
      <c r="O18" s="201" t="s">
        <v>21</v>
      </c>
      <c r="P18" s="202"/>
      <c r="Q18" s="158"/>
      <c r="R18" s="19">
        <f t="shared" si="1"/>
        <v>2.5452578664375932E-4</v>
      </c>
      <c r="S18" s="20"/>
      <c r="T18" s="21"/>
      <c r="U18" s="21"/>
      <c r="V18" s="21"/>
      <c r="W18" s="21"/>
      <c r="X18" s="21"/>
    </row>
    <row r="19" spans="1:24" ht="21.75" thickBot="1" x14ac:dyDescent="0.25">
      <c r="A19" s="159"/>
      <c r="B19" s="160"/>
      <c r="C19" s="161"/>
      <c r="D19" s="161"/>
      <c r="E19" s="162"/>
      <c r="F19" s="163"/>
      <c r="G19" s="164"/>
      <c r="H19" s="164"/>
      <c r="I19" s="19"/>
      <c r="J19" s="144" t="s">
        <v>193</v>
      </c>
      <c r="K19" s="209" t="s">
        <v>171</v>
      </c>
      <c r="L19" s="306" t="s">
        <v>210</v>
      </c>
      <c r="M19" s="307"/>
      <c r="N19" s="145">
        <f>46*J6</f>
        <v>46</v>
      </c>
      <c r="O19" s="146" t="s">
        <v>21</v>
      </c>
      <c r="P19" s="147"/>
      <c r="Q19" s="148"/>
      <c r="R19" s="19">
        <f t="shared" si="1"/>
        <v>0.1463523273201616</v>
      </c>
      <c r="S19" s="20"/>
      <c r="T19" s="21"/>
      <c r="U19" s="21"/>
      <c r="V19" s="21"/>
      <c r="W19" s="21"/>
      <c r="X19" s="21"/>
    </row>
    <row r="20" spans="1:24" ht="15" x14ac:dyDescent="0.2">
      <c r="A20" s="1"/>
      <c r="B20" s="1"/>
      <c r="C20" s="1"/>
      <c r="D20" s="1"/>
      <c r="E20" s="1"/>
      <c r="F20" s="1"/>
      <c r="G20" s="1"/>
      <c r="H20" s="1"/>
      <c r="I20" s="1"/>
      <c r="J20" s="133"/>
      <c r="K20" s="133"/>
      <c r="L20" s="133"/>
      <c r="M20" s="133"/>
      <c r="N20" s="133"/>
      <c r="O20" s="133"/>
      <c r="P20" s="133"/>
      <c r="Q20" s="133"/>
      <c r="R20" s="94">
        <f>SUM(I10:I18,R10:R19)</f>
        <v>0.99999999999999989</v>
      </c>
      <c r="S20" s="1"/>
      <c r="T20" s="1"/>
      <c r="U20" s="1"/>
      <c r="V20" s="1"/>
      <c r="W20" s="1"/>
      <c r="X20" s="1"/>
    </row>
    <row r="21" spans="1:24" ht="16.5" thickBot="1" x14ac:dyDescent="0.25">
      <c r="A21" s="229" t="s">
        <v>37</v>
      </c>
      <c r="B21" s="285"/>
      <c r="C21" s="1"/>
      <c r="D21" s="1"/>
      <c r="E21" s="1"/>
      <c r="F21" s="1"/>
      <c r="G21" s="1"/>
      <c r="H21" s="1"/>
      <c r="I21" s="1"/>
      <c r="J21" s="6"/>
      <c r="K21" s="8" t="s">
        <v>38</v>
      </c>
      <c r="L21" s="1"/>
      <c r="M21" s="1"/>
      <c r="N21" s="107"/>
      <c r="O21" s="1"/>
      <c r="P21" s="1"/>
      <c r="Q21" s="1"/>
      <c r="R21" s="94"/>
      <c r="S21" s="1"/>
      <c r="T21" s="1"/>
      <c r="U21" s="1"/>
      <c r="V21" s="1"/>
      <c r="W21" s="1"/>
      <c r="X21" s="1"/>
    </row>
    <row r="22" spans="1:24" ht="15" customHeight="1" x14ac:dyDescent="0.2">
      <c r="A22" s="245" t="s">
        <v>13</v>
      </c>
      <c r="B22" s="247" t="s">
        <v>39</v>
      </c>
      <c r="C22" s="309"/>
      <c r="D22" s="309"/>
      <c r="E22" s="309"/>
      <c r="F22" s="309"/>
      <c r="G22" s="309"/>
      <c r="H22" s="284"/>
      <c r="I22" s="252" t="s">
        <v>40</v>
      </c>
      <c r="J22" s="254"/>
      <c r="K22" s="265" t="s">
        <v>41</v>
      </c>
      <c r="L22" s="314"/>
      <c r="M22" s="315"/>
      <c r="N22" s="256" t="s">
        <v>42</v>
      </c>
      <c r="O22" s="257"/>
      <c r="P22" s="258"/>
      <c r="Q22" s="243" t="s">
        <v>43</v>
      </c>
      <c r="R22" s="243" t="s">
        <v>44</v>
      </c>
      <c r="S22" s="243" t="s">
        <v>45</v>
      </c>
      <c r="T22" s="268" t="s">
        <v>46</v>
      </c>
      <c r="U22" s="247" t="s">
        <v>47</v>
      </c>
      <c r="V22" s="248"/>
      <c r="W22" s="248"/>
      <c r="X22" s="263"/>
    </row>
    <row r="23" spans="1:24" ht="15.75" thickBot="1" x14ac:dyDescent="0.25">
      <c r="A23" s="308"/>
      <c r="B23" s="310"/>
      <c r="C23" s="291"/>
      <c r="D23" s="291"/>
      <c r="E23" s="291"/>
      <c r="F23" s="291"/>
      <c r="G23" s="291"/>
      <c r="H23" s="311"/>
      <c r="I23" s="312"/>
      <c r="J23" s="313"/>
      <c r="K23" s="26" t="s">
        <v>48</v>
      </c>
      <c r="L23" s="27" t="s">
        <v>49</v>
      </c>
      <c r="M23" s="28" t="s">
        <v>50</v>
      </c>
      <c r="N23" s="28" t="s">
        <v>234</v>
      </c>
      <c r="O23" s="28" t="s">
        <v>235</v>
      </c>
      <c r="P23" s="28" t="s">
        <v>51</v>
      </c>
      <c r="Q23" s="244"/>
      <c r="R23" s="244"/>
      <c r="S23" s="244"/>
      <c r="T23" s="244"/>
      <c r="U23" s="250"/>
      <c r="V23" s="224"/>
      <c r="W23" s="224"/>
      <c r="X23" s="264"/>
    </row>
    <row r="24" spans="1:24" ht="21" x14ac:dyDescent="0.2">
      <c r="A24" s="96" t="s">
        <v>52</v>
      </c>
      <c r="B24" s="102" t="s">
        <v>223</v>
      </c>
      <c r="C24" s="103"/>
      <c r="D24" s="103"/>
      <c r="E24" s="103"/>
      <c r="F24" s="103"/>
      <c r="G24" s="103"/>
      <c r="H24" s="103"/>
      <c r="I24" s="29"/>
      <c r="J24" s="30"/>
      <c r="K24" s="31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4"/>
      <c r="X24" s="35"/>
    </row>
    <row r="25" spans="1:24" ht="21" x14ac:dyDescent="0.2">
      <c r="A25" s="99" t="s">
        <v>53</v>
      </c>
      <c r="B25" s="102" t="s">
        <v>220</v>
      </c>
      <c r="C25" s="104"/>
      <c r="D25" s="104"/>
      <c r="E25" s="104"/>
      <c r="F25" s="104"/>
      <c r="G25" s="104"/>
      <c r="H25" s="104"/>
      <c r="I25" s="37"/>
      <c r="J25" s="30"/>
      <c r="K25" s="38" t="s">
        <v>54</v>
      </c>
      <c r="L25" s="39"/>
      <c r="M25" s="39"/>
      <c r="N25" s="39"/>
      <c r="O25" s="39"/>
      <c r="P25" s="39"/>
      <c r="Q25" s="39"/>
      <c r="R25" s="39"/>
      <c r="S25" s="39"/>
      <c r="T25" s="39"/>
      <c r="U25" s="40"/>
      <c r="V25" s="36"/>
      <c r="W25" s="36"/>
      <c r="X25" s="41"/>
    </row>
    <row r="26" spans="1:24" ht="21" x14ac:dyDescent="0.2">
      <c r="A26" s="99" t="s">
        <v>55</v>
      </c>
      <c r="B26" s="102" t="s">
        <v>224</v>
      </c>
      <c r="C26" s="104"/>
      <c r="D26" s="104"/>
      <c r="E26" s="104"/>
      <c r="F26" s="104"/>
      <c r="G26" s="104"/>
      <c r="H26" s="104"/>
      <c r="I26" s="37"/>
      <c r="J26" s="30"/>
      <c r="K26" s="42"/>
      <c r="L26" s="43"/>
      <c r="M26" s="43"/>
      <c r="N26" s="43"/>
      <c r="O26" s="43"/>
      <c r="P26" s="43"/>
      <c r="Q26" s="43"/>
      <c r="R26" s="43"/>
      <c r="S26" s="43"/>
      <c r="T26" s="43"/>
      <c r="U26" s="44"/>
      <c r="V26" s="36"/>
      <c r="W26" s="36"/>
      <c r="X26" s="41"/>
    </row>
    <row r="27" spans="1:24" ht="21" x14ac:dyDescent="0.2">
      <c r="A27" s="99" t="s">
        <v>56</v>
      </c>
      <c r="B27" s="102" t="s">
        <v>221</v>
      </c>
      <c r="C27" s="104"/>
      <c r="D27" s="104"/>
      <c r="E27" s="104"/>
      <c r="F27" s="104"/>
      <c r="G27" s="104"/>
      <c r="H27" s="104"/>
      <c r="I27" s="37"/>
      <c r="J27" s="30"/>
      <c r="K27" s="42"/>
      <c r="L27" s="39"/>
      <c r="M27" s="39"/>
      <c r="N27" s="39"/>
      <c r="O27" s="39"/>
      <c r="P27" s="39"/>
      <c r="Q27" s="39"/>
      <c r="R27" s="39"/>
      <c r="S27" s="39"/>
      <c r="T27" s="39"/>
      <c r="U27" s="44"/>
      <c r="V27" s="36"/>
      <c r="W27" s="36"/>
      <c r="X27" s="41"/>
    </row>
    <row r="28" spans="1:24" ht="21" x14ac:dyDescent="0.2">
      <c r="A28" s="99" t="s">
        <v>57</v>
      </c>
      <c r="B28" s="102" t="s">
        <v>199</v>
      </c>
      <c r="C28" s="104"/>
      <c r="D28" s="104"/>
      <c r="E28" s="104"/>
      <c r="F28" s="104"/>
      <c r="G28" s="104"/>
      <c r="H28" s="104"/>
      <c r="I28" s="37"/>
      <c r="J28" s="30"/>
      <c r="K28" s="42"/>
      <c r="L28" s="39"/>
      <c r="M28" s="39"/>
      <c r="N28" s="39"/>
      <c r="O28" s="39"/>
      <c r="P28" s="39"/>
      <c r="Q28" s="39"/>
      <c r="R28" s="39"/>
      <c r="S28" s="39"/>
      <c r="T28" s="39"/>
      <c r="U28" s="40"/>
      <c r="V28" s="36"/>
      <c r="W28" s="36"/>
      <c r="X28" s="41"/>
    </row>
    <row r="29" spans="1:24" ht="21" x14ac:dyDescent="0.2">
      <c r="A29" s="99" t="s">
        <v>58</v>
      </c>
      <c r="B29" s="102" t="s">
        <v>222</v>
      </c>
      <c r="C29" s="104"/>
      <c r="D29" s="104"/>
      <c r="E29" s="104"/>
      <c r="F29" s="104"/>
      <c r="G29" s="104"/>
      <c r="H29" s="104"/>
      <c r="I29" s="37"/>
      <c r="J29" s="30"/>
      <c r="K29" s="42"/>
      <c r="L29" s="39"/>
      <c r="M29" s="39"/>
      <c r="N29" s="39"/>
      <c r="O29" s="39"/>
      <c r="P29" s="39"/>
      <c r="Q29" s="39"/>
      <c r="R29" s="39"/>
      <c r="S29" s="39"/>
      <c r="T29" s="39"/>
      <c r="U29" s="40"/>
      <c r="V29" s="36"/>
      <c r="W29" s="36"/>
      <c r="X29" s="41"/>
    </row>
    <row r="30" spans="1:24" ht="21" x14ac:dyDescent="0.2">
      <c r="A30" s="99" t="s">
        <v>23</v>
      </c>
      <c r="B30" s="102" t="s">
        <v>225</v>
      </c>
      <c r="C30" s="104"/>
      <c r="D30" s="104"/>
      <c r="E30" s="104"/>
      <c r="F30" s="104"/>
      <c r="G30" s="104"/>
      <c r="H30" s="104"/>
      <c r="I30" s="37"/>
      <c r="J30" s="30"/>
      <c r="K30" s="42"/>
      <c r="L30" s="39"/>
      <c r="M30" s="39"/>
      <c r="N30" s="39"/>
      <c r="O30" s="39"/>
      <c r="P30" s="39"/>
      <c r="Q30" s="39"/>
      <c r="R30" s="39"/>
      <c r="S30" s="39"/>
      <c r="T30" s="39"/>
      <c r="U30" s="40"/>
      <c r="V30" s="36"/>
      <c r="W30" s="36"/>
      <c r="X30" s="41"/>
    </row>
    <row r="31" spans="1:24" ht="21" x14ac:dyDescent="0.2">
      <c r="A31" s="99" t="s">
        <v>59</v>
      </c>
      <c r="B31" s="102" t="s">
        <v>198</v>
      </c>
      <c r="C31" s="104"/>
      <c r="D31" s="104"/>
      <c r="E31" s="104"/>
      <c r="F31" s="104"/>
      <c r="G31" s="104"/>
      <c r="H31" s="104"/>
      <c r="I31" s="37"/>
      <c r="J31" s="30"/>
      <c r="K31" s="42"/>
      <c r="L31" s="39"/>
      <c r="M31" s="39"/>
      <c r="N31" s="39"/>
      <c r="O31" s="39"/>
      <c r="P31" s="39"/>
      <c r="Q31" s="39"/>
      <c r="R31" s="39"/>
      <c r="S31" s="39"/>
      <c r="T31" s="39"/>
      <c r="U31" s="40"/>
      <c r="V31" s="36"/>
      <c r="W31" s="36"/>
      <c r="X31" s="41"/>
    </row>
    <row r="32" spans="1:24" ht="21" x14ac:dyDescent="0.2">
      <c r="A32" s="99" t="s">
        <v>60</v>
      </c>
      <c r="B32" s="102" t="s">
        <v>194</v>
      </c>
      <c r="C32" s="104"/>
      <c r="D32" s="104"/>
      <c r="E32" s="104"/>
      <c r="F32" s="104"/>
      <c r="G32" s="104"/>
      <c r="H32" s="104"/>
      <c r="I32" s="37"/>
      <c r="J32" s="1"/>
      <c r="K32" s="45"/>
      <c r="L32" s="39"/>
      <c r="M32" s="39"/>
      <c r="N32" s="39"/>
      <c r="O32" s="39"/>
      <c r="P32" s="39"/>
      <c r="Q32" s="39"/>
      <c r="R32" s="39"/>
      <c r="S32" s="39"/>
      <c r="T32" s="39"/>
      <c r="U32" s="40"/>
      <c r="V32" s="36"/>
      <c r="W32" s="36"/>
      <c r="X32" s="41"/>
    </row>
    <row r="33" spans="1:24" ht="21.75" thickBot="1" x14ac:dyDescent="0.25">
      <c r="A33" s="101" t="s">
        <v>61</v>
      </c>
      <c r="B33" s="105"/>
      <c r="C33" s="106"/>
      <c r="D33" s="106"/>
      <c r="E33" s="106"/>
      <c r="F33" s="106"/>
      <c r="G33" s="106"/>
      <c r="H33" s="106"/>
      <c r="I33" s="47"/>
      <c r="J33" s="48"/>
      <c r="K33" s="26"/>
      <c r="L33" s="49"/>
      <c r="M33" s="49"/>
      <c r="N33" s="49"/>
      <c r="O33" s="49"/>
      <c r="P33" s="49"/>
      <c r="Q33" s="49"/>
      <c r="R33" s="49"/>
      <c r="S33" s="49"/>
      <c r="T33" s="49"/>
      <c r="U33" s="50"/>
      <c r="V33" s="46"/>
      <c r="W33" s="46"/>
      <c r="X33" s="51"/>
    </row>
    <row r="34" spans="1:24" ht="19.5" thickBot="1" x14ac:dyDescent="0.25">
      <c r="A34" s="229" t="s">
        <v>62</v>
      </c>
      <c r="B34" s="285"/>
      <c r="C34" s="52"/>
      <c r="D34" s="53" t="s">
        <v>6</v>
      </c>
      <c r="E34" s="8"/>
      <c r="F34" s="7" t="s">
        <v>63</v>
      </c>
      <c r="G34" s="1"/>
      <c r="H34" s="12"/>
      <c r="I34" s="12"/>
      <c r="J34" s="1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</row>
    <row r="35" spans="1:24" ht="15.75" x14ac:dyDescent="0.2">
      <c r="A35" s="8" t="s">
        <v>64</v>
      </c>
      <c r="B35" s="1"/>
      <c r="C35" s="36"/>
      <c r="D35" s="36"/>
      <c r="E35" s="1"/>
      <c r="F35" s="133"/>
      <c r="G35" s="133"/>
      <c r="H35" s="165"/>
      <c r="I35" s="165"/>
      <c r="J35" s="1"/>
      <c r="K35" s="1"/>
      <c r="L35" s="55" t="s">
        <v>65</v>
      </c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7"/>
      <c r="X35" s="1"/>
    </row>
    <row r="36" spans="1:24" ht="15.75" x14ac:dyDescent="0.2">
      <c r="A36" s="8" t="s">
        <v>66</v>
      </c>
      <c r="B36" s="1"/>
      <c r="C36" s="36"/>
      <c r="D36" s="36"/>
      <c r="E36" s="1"/>
      <c r="F36" s="167" t="s">
        <v>200</v>
      </c>
      <c r="G36" s="166">
        <v>42</v>
      </c>
      <c r="H36" s="166" t="s">
        <v>204</v>
      </c>
      <c r="I36" s="166" t="s">
        <v>219</v>
      </c>
      <c r="J36" s="1"/>
      <c r="K36" s="1"/>
      <c r="L36" s="58" t="s">
        <v>67</v>
      </c>
      <c r="M36" s="1"/>
      <c r="N36" s="1"/>
      <c r="O36" s="1"/>
      <c r="P36" s="1"/>
      <c r="Q36" s="1"/>
      <c r="R36" s="1"/>
      <c r="S36" s="3" t="s">
        <v>68</v>
      </c>
      <c r="T36" s="3"/>
      <c r="U36" s="3"/>
      <c r="V36" s="3"/>
      <c r="W36" s="59"/>
      <c r="X36" s="1"/>
    </row>
    <row r="37" spans="1:24" ht="15.75" x14ac:dyDescent="0.25">
      <c r="A37" s="8" t="s">
        <v>69</v>
      </c>
      <c r="C37" s="36"/>
      <c r="D37" s="36"/>
      <c r="E37" s="1"/>
      <c r="F37" s="167" t="s">
        <v>201</v>
      </c>
      <c r="G37" s="168" t="s">
        <v>207</v>
      </c>
      <c r="H37" s="167" t="s">
        <v>205</v>
      </c>
      <c r="I37" s="166" t="s">
        <v>206</v>
      </c>
      <c r="J37" s="54"/>
      <c r="K37" s="1"/>
      <c r="L37" s="30" t="s">
        <v>70</v>
      </c>
      <c r="M37" s="1"/>
      <c r="N37" s="1"/>
      <c r="O37" s="1"/>
      <c r="P37" s="1"/>
      <c r="Q37" s="1"/>
      <c r="R37" s="1"/>
      <c r="S37" s="1" t="s">
        <v>71</v>
      </c>
      <c r="T37" s="1"/>
      <c r="U37" s="1"/>
      <c r="V37" s="1"/>
      <c r="W37" s="48"/>
      <c r="X37" s="1"/>
    </row>
    <row r="38" spans="1:24" ht="15.75" x14ac:dyDescent="0.25">
      <c r="B38" s="1"/>
      <c r="C38" s="1"/>
      <c r="D38" s="1"/>
      <c r="E38" s="1"/>
      <c r="F38" s="166" t="s">
        <v>202</v>
      </c>
      <c r="G38" s="168" t="s">
        <v>203</v>
      </c>
      <c r="H38" s="166"/>
      <c r="I38" s="166"/>
      <c r="J38" s="1"/>
      <c r="K38" s="1"/>
      <c r="L38" s="30" t="s">
        <v>72</v>
      </c>
      <c r="M38" s="1"/>
      <c r="N38" s="1"/>
      <c r="O38" s="1"/>
      <c r="P38" s="1"/>
      <c r="Q38" s="1"/>
      <c r="R38" s="1"/>
      <c r="S38" s="1" t="s">
        <v>73</v>
      </c>
      <c r="T38" s="1"/>
      <c r="U38" s="1"/>
      <c r="V38" s="1"/>
      <c r="W38" s="48"/>
      <c r="X38" s="1"/>
    </row>
    <row r="39" spans="1:24" ht="19.5" thickBot="1" x14ac:dyDescent="0.25">
      <c r="A39" s="60" t="s">
        <v>74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58" t="s">
        <v>75</v>
      </c>
      <c r="M39" s="1"/>
      <c r="N39" s="1"/>
      <c r="O39" s="1"/>
      <c r="P39" s="1"/>
      <c r="Q39" s="1"/>
      <c r="R39" s="1"/>
      <c r="S39" s="1" t="s">
        <v>76</v>
      </c>
      <c r="T39" s="1"/>
      <c r="U39" s="1"/>
      <c r="V39" s="1"/>
      <c r="W39" s="48"/>
      <c r="X39" s="1"/>
    </row>
    <row r="40" spans="1:24" ht="15" x14ac:dyDescent="0.2">
      <c r="A40" s="61"/>
      <c r="B40" s="62" t="s">
        <v>77</v>
      </c>
      <c r="C40" s="34"/>
      <c r="D40" s="63" t="s">
        <v>78</v>
      </c>
      <c r="E40" s="56"/>
      <c r="F40" s="62" t="s">
        <v>79</v>
      </c>
      <c r="G40" s="56"/>
      <c r="H40" s="34"/>
      <c r="I40" s="63" t="s">
        <v>80</v>
      </c>
      <c r="J40" s="64"/>
      <c r="K40" s="65"/>
      <c r="L40" s="30" t="s">
        <v>81</v>
      </c>
      <c r="M40" s="1"/>
      <c r="N40" s="1"/>
      <c r="O40" s="1"/>
      <c r="P40" s="1"/>
      <c r="Q40" s="1"/>
      <c r="R40" s="1"/>
      <c r="S40" s="1" t="s">
        <v>82</v>
      </c>
      <c r="T40" s="1"/>
      <c r="U40" s="1"/>
      <c r="V40" s="1"/>
      <c r="W40" s="48"/>
      <c r="X40" s="1"/>
    </row>
    <row r="41" spans="1:24" ht="15" x14ac:dyDescent="0.2">
      <c r="A41" s="66"/>
      <c r="B41" s="67" t="s">
        <v>83</v>
      </c>
      <c r="C41" s="36"/>
      <c r="D41" s="36"/>
      <c r="E41" s="1"/>
      <c r="F41" s="67" t="s">
        <v>84</v>
      </c>
      <c r="G41" s="1"/>
      <c r="H41" s="36"/>
      <c r="I41" s="68" t="s">
        <v>85</v>
      </c>
      <c r="J41" s="69"/>
      <c r="K41" s="65"/>
      <c r="L41" s="30" t="s">
        <v>86</v>
      </c>
      <c r="M41" s="1"/>
      <c r="N41" s="1"/>
      <c r="O41" s="1"/>
      <c r="P41" s="1"/>
      <c r="Q41" s="1"/>
      <c r="R41" s="1"/>
      <c r="S41" s="1" t="s">
        <v>87</v>
      </c>
      <c r="T41" s="1"/>
      <c r="U41" s="1"/>
      <c r="V41" s="1"/>
      <c r="W41" s="48"/>
      <c r="X41" s="1"/>
    </row>
    <row r="42" spans="1:24" ht="15.75" x14ac:dyDescent="0.2">
      <c r="A42" s="66"/>
      <c r="B42" s="67" t="s">
        <v>88</v>
      </c>
      <c r="C42" s="36"/>
      <c r="D42" s="36"/>
      <c r="E42" s="1"/>
      <c r="F42" s="67" t="s">
        <v>89</v>
      </c>
      <c r="G42" s="1"/>
      <c r="H42" s="36"/>
      <c r="I42" s="68" t="s">
        <v>90</v>
      </c>
      <c r="J42" s="69"/>
      <c r="K42" s="65"/>
      <c r="L42" s="70" t="s">
        <v>91</v>
      </c>
      <c r="M42" s="1"/>
      <c r="N42" s="1"/>
      <c r="O42" s="1"/>
      <c r="P42" s="1"/>
      <c r="Q42" s="1"/>
      <c r="R42" s="1"/>
      <c r="S42" s="1" t="s">
        <v>92</v>
      </c>
      <c r="T42" s="1"/>
      <c r="U42" s="1"/>
      <c r="V42" s="1"/>
      <c r="W42" s="48"/>
      <c r="X42" s="1"/>
    </row>
    <row r="43" spans="1:24" ht="18.75" x14ac:dyDescent="0.2">
      <c r="A43" s="66"/>
      <c r="B43" s="67" t="s">
        <v>93</v>
      </c>
      <c r="C43" s="36"/>
      <c r="D43" s="36"/>
      <c r="E43" s="1"/>
      <c r="F43" s="67" t="s">
        <v>94</v>
      </c>
      <c r="G43" s="2"/>
      <c r="H43" s="241" t="s">
        <v>95</v>
      </c>
      <c r="I43" s="316"/>
      <c r="J43" s="48"/>
      <c r="K43" s="65"/>
      <c r="L43" s="30" t="s">
        <v>96</v>
      </c>
      <c r="M43" s="1"/>
      <c r="N43" s="1"/>
      <c r="O43" s="1"/>
      <c r="P43" s="1"/>
      <c r="Q43" s="1"/>
      <c r="R43" s="1"/>
      <c r="S43" s="1" t="s">
        <v>97</v>
      </c>
      <c r="T43" s="1"/>
      <c r="U43" s="1"/>
      <c r="V43" s="1"/>
      <c r="W43" s="48"/>
      <c r="X43" s="1"/>
    </row>
    <row r="44" spans="1:24" ht="37.5" customHeight="1" x14ac:dyDescent="0.2">
      <c r="A44" s="66"/>
      <c r="B44" s="67" t="s">
        <v>63</v>
      </c>
      <c r="C44" s="36"/>
      <c r="D44" s="36"/>
      <c r="E44" s="1"/>
      <c r="F44" s="67" t="s">
        <v>66</v>
      </c>
      <c r="G44" s="60"/>
      <c r="H44" s="71"/>
      <c r="I44" s="36"/>
      <c r="J44" s="48"/>
      <c r="K44" s="65"/>
      <c r="L44" s="58" t="s">
        <v>98</v>
      </c>
      <c r="M44" s="1"/>
      <c r="N44" s="1"/>
      <c r="O44" s="1"/>
      <c r="P44" s="1"/>
      <c r="Q44" s="1"/>
      <c r="R44" s="1"/>
      <c r="S44" s="259" t="s">
        <v>99</v>
      </c>
      <c r="T44" s="259"/>
      <c r="U44" s="259"/>
      <c r="V44" s="259"/>
      <c r="W44" s="260"/>
      <c r="X44" s="1"/>
    </row>
    <row r="45" spans="1:24" ht="45.75" thickBot="1" x14ac:dyDescent="0.35">
      <c r="A45" s="72"/>
      <c r="B45" s="73" t="s">
        <v>100</v>
      </c>
      <c r="C45" s="74" t="s">
        <v>95</v>
      </c>
      <c r="D45" s="75"/>
      <c r="E45" s="76"/>
      <c r="F45" s="77"/>
      <c r="G45" s="76"/>
      <c r="H45" s="76"/>
      <c r="I45" s="76"/>
      <c r="J45" s="78"/>
      <c r="K45" s="65"/>
      <c r="L45" s="79" t="s">
        <v>101</v>
      </c>
      <c r="M45" s="80"/>
      <c r="N45" s="80"/>
      <c r="O45" s="80"/>
      <c r="P45" s="80"/>
      <c r="Q45" s="80"/>
      <c r="R45" s="80"/>
      <c r="S45" s="261" t="s">
        <v>102</v>
      </c>
      <c r="T45" s="261"/>
      <c r="U45" s="261"/>
      <c r="V45" s="261"/>
      <c r="W45" s="262"/>
      <c r="X45" s="1"/>
    </row>
    <row r="46" spans="1:24" ht="1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</sheetData>
  <mergeCells count="48">
    <mergeCell ref="A34:B34"/>
    <mergeCell ref="H43:I43"/>
    <mergeCell ref="S44:W44"/>
    <mergeCell ref="S45:W45"/>
    <mergeCell ref="Q22:Q23"/>
    <mergeCell ref="R22:R23"/>
    <mergeCell ref="S22:S23"/>
    <mergeCell ref="N22:P22"/>
    <mergeCell ref="T22:T23"/>
    <mergeCell ref="U22:X23"/>
    <mergeCell ref="L19:M19"/>
    <mergeCell ref="A21:B21"/>
    <mergeCell ref="A22:A23"/>
    <mergeCell ref="B22:H23"/>
    <mergeCell ref="I22:I23"/>
    <mergeCell ref="J22:J23"/>
    <mergeCell ref="K22:M22"/>
    <mergeCell ref="C16:D16"/>
    <mergeCell ref="L16:M16"/>
    <mergeCell ref="C17:D17"/>
    <mergeCell ref="L17:M17"/>
    <mergeCell ref="C18:D18"/>
    <mergeCell ref="L18:M18"/>
    <mergeCell ref="C13:D13"/>
    <mergeCell ref="L13:M13"/>
    <mergeCell ref="C14:D14"/>
    <mergeCell ref="L14:M14"/>
    <mergeCell ref="C15:D15"/>
    <mergeCell ref="L15:M15"/>
    <mergeCell ref="C10:D10"/>
    <mergeCell ref="L10:M10"/>
    <mergeCell ref="C11:D11"/>
    <mergeCell ref="L11:M11"/>
    <mergeCell ref="C12:D12"/>
    <mergeCell ref="L12:M12"/>
    <mergeCell ref="L9:M9"/>
    <mergeCell ref="A1:X1"/>
    <mergeCell ref="A2:X2"/>
    <mergeCell ref="A3:B3"/>
    <mergeCell ref="C3:D3"/>
    <mergeCell ref="J3:K3"/>
    <mergeCell ref="A5:B5"/>
    <mergeCell ref="J5:K5"/>
    <mergeCell ref="A6:B6"/>
    <mergeCell ref="C6:D6"/>
    <mergeCell ref="J6:K6"/>
    <mergeCell ref="A8:B8"/>
    <mergeCell ref="C9:D9"/>
  </mergeCells>
  <pageMargins left="0.25" right="0.25" top="0.75" bottom="0.75" header="0.3" footer="0.3"/>
  <pageSetup paperSize="256" scale="53" orientation="landscape" horizontalDpi="203" verticalDpi="203" r:id="rId1"/>
  <headerFooter>
    <oddHeader>&amp;LFORM NO: PROD-PR-01-A&amp;RREV. 01(23/10/25)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J1"/>
    </sheetView>
  </sheetViews>
  <sheetFormatPr defaultColWidth="12.625" defaultRowHeight="15" customHeight="1" x14ac:dyDescent="0.2"/>
  <cols>
    <col min="1" max="11" width="9" customWidth="1"/>
    <col min="12" max="12" width="11.125" customWidth="1"/>
    <col min="13" max="13" width="9" customWidth="1"/>
    <col min="14" max="26" width="8.625" customWidth="1"/>
  </cols>
  <sheetData>
    <row r="1" spans="1:26" ht="14.25" customHeight="1" x14ac:dyDescent="0.2">
      <c r="A1" s="317" t="s">
        <v>103</v>
      </c>
      <c r="B1" s="285"/>
      <c r="C1" s="285"/>
      <c r="D1" s="285"/>
      <c r="E1" s="285"/>
      <c r="F1" s="285"/>
      <c r="G1" s="285"/>
      <c r="H1" s="285"/>
      <c r="I1" s="285"/>
      <c r="J1" s="285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4.25" customHeight="1" x14ac:dyDescent="0.2">
      <c r="A2" s="318" t="s">
        <v>104</v>
      </c>
      <c r="B2" s="285"/>
      <c r="C2" s="285"/>
      <c r="D2" s="285"/>
      <c r="E2" s="285"/>
      <c r="F2" s="285"/>
      <c r="G2" s="285"/>
      <c r="H2" s="285"/>
      <c r="I2" s="285"/>
      <c r="J2" s="285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4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4.25" customHeight="1" x14ac:dyDescent="0.2">
      <c r="A4" s="81" t="s">
        <v>105</v>
      </c>
      <c r="B4" s="1"/>
      <c r="C4" s="1"/>
      <c r="D4" s="1"/>
      <c r="E4" s="1"/>
      <c r="F4" s="1"/>
      <c r="G4" s="1"/>
      <c r="H4" s="1"/>
      <c r="I4" s="1"/>
      <c r="J4" s="1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4.25" customHeight="1" x14ac:dyDescent="0.2">
      <c r="A5" s="326" t="s">
        <v>106</v>
      </c>
      <c r="B5" s="319" t="s">
        <v>107</v>
      </c>
      <c r="C5" s="320"/>
      <c r="D5" s="319" t="s">
        <v>108</v>
      </c>
      <c r="E5" s="320"/>
      <c r="F5" s="319" t="s">
        <v>109</v>
      </c>
      <c r="G5" s="320"/>
      <c r="H5" s="321" t="s">
        <v>110</v>
      </c>
      <c r="I5" s="322"/>
      <c r="J5" s="323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4.25" customHeight="1" x14ac:dyDescent="0.2">
      <c r="A6" s="327"/>
      <c r="B6" s="39" t="s">
        <v>111</v>
      </c>
      <c r="C6" s="39" t="s">
        <v>112</v>
      </c>
      <c r="D6" s="39" t="s">
        <v>111</v>
      </c>
      <c r="E6" s="39" t="s">
        <v>112</v>
      </c>
      <c r="F6" s="39" t="s">
        <v>111</v>
      </c>
      <c r="G6" s="39" t="s">
        <v>112</v>
      </c>
      <c r="H6" s="324"/>
      <c r="I6" s="289"/>
      <c r="J6" s="325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4.25" customHeight="1" x14ac:dyDescent="0.2">
      <c r="A7" s="39" t="s">
        <v>113</v>
      </c>
      <c r="B7" s="39"/>
      <c r="C7" s="39"/>
      <c r="D7" s="39"/>
      <c r="E7" s="39"/>
      <c r="F7" s="39"/>
      <c r="G7" s="39"/>
      <c r="H7" s="319"/>
      <c r="I7" s="316"/>
      <c r="J7" s="320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4.2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4.25" customHeight="1" x14ac:dyDescent="0.2">
      <c r="A9" s="326" t="s">
        <v>114</v>
      </c>
      <c r="B9" s="319" t="s">
        <v>107</v>
      </c>
      <c r="C9" s="320"/>
      <c r="D9" s="319" t="s">
        <v>108</v>
      </c>
      <c r="E9" s="320"/>
      <c r="F9" s="319" t="s">
        <v>109</v>
      </c>
      <c r="G9" s="320"/>
      <c r="H9" s="321" t="s">
        <v>110</v>
      </c>
      <c r="I9" s="322"/>
      <c r="J9" s="323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4.25" customHeight="1" x14ac:dyDescent="0.2">
      <c r="A10" s="327"/>
      <c r="B10" s="39" t="s">
        <v>111</v>
      </c>
      <c r="C10" s="39" t="s">
        <v>115</v>
      </c>
      <c r="D10" s="39" t="s">
        <v>111</v>
      </c>
      <c r="E10" s="39" t="s">
        <v>115</v>
      </c>
      <c r="F10" s="39" t="s">
        <v>111</v>
      </c>
      <c r="G10" s="39" t="s">
        <v>115</v>
      </c>
      <c r="H10" s="324"/>
      <c r="I10" s="289"/>
      <c r="J10" s="325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4.25" customHeight="1" x14ac:dyDescent="0.2">
      <c r="A11" s="39" t="s">
        <v>116</v>
      </c>
      <c r="B11" s="39"/>
      <c r="C11" s="39"/>
      <c r="D11" s="39"/>
      <c r="E11" s="39"/>
      <c r="F11" s="39"/>
      <c r="G11" s="39"/>
      <c r="H11" s="319"/>
      <c r="I11" s="316"/>
      <c r="J11" s="320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4.2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4.25" customHeight="1" x14ac:dyDescent="0.2">
      <c r="A13" s="328" t="s">
        <v>117</v>
      </c>
      <c r="B13" s="285"/>
      <c r="C13" s="285"/>
      <c r="D13" s="285"/>
      <c r="E13" s="285"/>
      <c r="F13" s="1">
        <v>0.5</v>
      </c>
      <c r="G13" s="1">
        <v>1</v>
      </c>
      <c r="H13" s="1">
        <v>1.5</v>
      </c>
      <c r="I13" s="1">
        <v>2</v>
      </c>
      <c r="J13" s="1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4.25" customHeight="1" x14ac:dyDescent="0.2">
      <c r="A14" s="81" t="s">
        <v>118</v>
      </c>
      <c r="B14" s="1"/>
      <c r="C14" s="1"/>
      <c r="D14" s="1"/>
      <c r="E14" s="1"/>
      <c r="F14" s="1"/>
      <c r="G14" s="1"/>
      <c r="H14" s="1"/>
      <c r="I14" s="1"/>
      <c r="J14" s="1"/>
      <c r="K14" s="16"/>
      <c r="L14" s="86" t="s">
        <v>119</v>
      </c>
      <c r="M14" s="87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4.25" customHeight="1" x14ac:dyDescent="0.2">
      <c r="A15" s="39"/>
      <c r="B15" s="82" t="s">
        <v>116</v>
      </c>
      <c r="C15" s="82" t="s">
        <v>120</v>
      </c>
      <c r="D15" s="82" t="s">
        <v>121</v>
      </c>
      <c r="E15" s="82" t="s">
        <v>122</v>
      </c>
      <c r="F15" s="321" t="s">
        <v>123</v>
      </c>
      <c r="G15" s="322"/>
      <c r="H15" s="322"/>
      <c r="I15" s="322"/>
      <c r="J15" s="323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4.25" customHeight="1" x14ac:dyDescent="0.2">
      <c r="A16" s="83" t="s">
        <v>124</v>
      </c>
      <c r="B16" s="39"/>
      <c r="C16" s="39"/>
      <c r="D16" s="39"/>
      <c r="E16" s="39"/>
      <c r="F16" s="39"/>
      <c r="G16" s="88"/>
      <c r="H16" s="89"/>
      <c r="I16" s="39"/>
      <c r="J16" s="39"/>
      <c r="K16" s="16" t="s">
        <v>27</v>
      </c>
      <c r="L16" s="16">
        <f>[1]Sheet1!I6</f>
        <v>0</v>
      </c>
      <c r="M16" s="16">
        <v>1.5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4.25" customHeight="1" x14ac:dyDescent="0.2">
      <c r="A17" s="84" t="s">
        <v>125</v>
      </c>
      <c r="B17" s="39"/>
      <c r="C17" s="39"/>
      <c r="D17" s="39"/>
      <c r="E17" s="39"/>
      <c r="F17" s="39"/>
      <c r="G17" s="39"/>
      <c r="H17" s="89"/>
      <c r="I17" s="39"/>
      <c r="J17" s="39"/>
      <c r="K17" s="16" t="s">
        <v>126</v>
      </c>
      <c r="L17" s="16">
        <f>[1]Sheet1!I6</f>
        <v>0</v>
      </c>
      <c r="M17" s="16">
        <v>1.5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4.25" customHeight="1" x14ac:dyDescent="0.2">
      <c r="A18" s="84" t="s">
        <v>127</v>
      </c>
      <c r="B18" s="39"/>
      <c r="C18" s="39"/>
      <c r="D18" s="39"/>
      <c r="E18" s="39"/>
      <c r="F18" s="39"/>
      <c r="G18" s="88"/>
      <c r="H18" s="89"/>
      <c r="I18" s="39"/>
      <c r="J18" s="39"/>
      <c r="K18" s="16" t="s">
        <v>128</v>
      </c>
      <c r="L18" s="16">
        <f>[1]Sheet1!I6</f>
        <v>0</v>
      </c>
      <c r="M18" s="16">
        <v>1.5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4.25" customHeight="1" x14ac:dyDescent="0.2">
      <c r="A19" s="84" t="s">
        <v>129</v>
      </c>
      <c r="B19" s="39"/>
      <c r="C19" s="39"/>
      <c r="D19" s="39"/>
      <c r="E19" s="39"/>
      <c r="F19" s="39"/>
      <c r="G19" s="39"/>
      <c r="H19" s="89"/>
      <c r="I19" s="39"/>
      <c r="J19" s="39"/>
      <c r="K19" s="16" t="s">
        <v>130</v>
      </c>
      <c r="L19" s="16">
        <f>[1]Sheet1!I6</f>
        <v>0</v>
      </c>
      <c r="M19" s="16">
        <v>1.5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4.25" customHeight="1" x14ac:dyDescent="0.2">
      <c r="A20" s="84" t="s">
        <v>131</v>
      </c>
      <c r="B20" s="39"/>
      <c r="C20" s="39"/>
      <c r="D20" s="39"/>
      <c r="E20" s="39"/>
      <c r="F20" s="39"/>
      <c r="G20" s="39"/>
      <c r="H20" s="89"/>
      <c r="I20" s="39"/>
      <c r="J20" s="39"/>
      <c r="K20" s="16" t="s">
        <v>132</v>
      </c>
      <c r="L20" s="16">
        <f>[1]Sheet1!I6</f>
        <v>0</v>
      </c>
      <c r="M20" s="16">
        <v>1.5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4.25" customHeight="1" x14ac:dyDescent="0.2">
      <c r="A21" s="326" t="s">
        <v>133</v>
      </c>
      <c r="B21" s="82"/>
      <c r="C21" s="82"/>
      <c r="D21" s="82"/>
      <c r="E21" s="82"/>
      <c r="F21" s="82"/>
      <c r="G21" s="90"/>
      <c r="H21" s="82"/>
      <c r="I21" s="82"/>
      <c r="J21" s="82"/>
      <c r="K21" s="16" t="s">
        <v>134</v>
      </c>
      <c r="L21" s="16">
        <f>[1]Sheet1!I6</f>
        <v>0</v>
      </c>
      <c r="M21" s="16">
        <v>1.5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4.25" customHeight="1" x14ac:dyDescent="0.2">
      <c r="A22" s="327"/>
      <c r="B22" s="91"/>
      <c r="C22" s="91"/>
      <c r="D22" s="91"/>
      <c r="E22" s="91"/>
      <c r="F22" s="91"/>
      <c r="G22" s="91"/>
      <c r="H22" s="92"/>
      <c r="I22" s="91"/>
      <c r="J22" s="91"/>
      <c r="K22" s="16"/>
      <c r="L22" s="16">
        <f>[1]Sheet1!I6</f>
        <v>0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4.25" customHeight="1" x14ac:dyDescent="0.2">
      <c r="A23" s="83" t="s">
        <v>135</v>
      </c>
      <c r="B23" s="39"/>
      <c r="C23" s="39"/>
      <c r="D23" s="39"/>
      <c r="E23" s="39"/>
      <c r="F23" s="39"/>
      <c r="G23" s="39"/>
      <c r="H23" s="89"/>
      <c r="I23" s="39"/>
      <c r="J23" s="39"/>
      <c r="K23" s="16" t="s">
        <v>57</v>
      </c>
      <c r="L23" s="16">
        <f>[1]Sheet1!I6</f>
        <v>0</v>
      </c>
      <c r="M23" s="16">
        <v>1.5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4.25" customHeight="1" x14ac:dyDescent="0.2">
      <c r="A24" s="83" t="s">
        <v>136</v>
      </c>
      <c r="B24" s="39"/>
      <c r="C24" s="39"/>
      <c r="D24" s="39"/>
      <c r="E24" s="39"/>
      <c r="F24" s="39"/>
      <c r="G24" s="39"/>
      <c r="H24" s="89"/>
      <c r="I24" s="39"/>
      <c r="J24" s="39"/>
      <c r="K24" s="16" t="s">
        <v>137</v>
      </c>
      <c r="L24" s="16">
        <f>[1]Sheet1!I6</f>
        <v>0</v>
      </c>
      <c r="M24" s="16">
        <v>1.5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4.25" customHeight="1" x14ac:dyDescent="0.2">
      <c r="A25" s="83" t="s">
        <v>138</v>
      </c>
      <c r="B25" s="82"/>
      <c r="C25" s="82"/>
      <c r="D25" s="82"/>
      <c r="E25" s="82"/>
      <c r="F25" s="82"/>
      <c r="G25" s="82"/>
      <c r="H25" s="82"/>
      <c r="I25" s="82"/>
      <c r="J25" s="82"/>
      <c r="K25" s="16" t="s">
        <v>139</v>
      </c>
      <c r="L25" s="16">
        <f>[1]Sheet1!I6</f>
        <v>0</v>
      </c>
      <c r="M25" s="16">
        <v>1.5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4.25" customHeight="1" x14ac:dyDescent="0.2">
      <c r="A26" s="54"/>
      <c r="B26" s="39"/>
      <c r="C26" s="39"/>
      <c r="D26" s="39"/>
      <c r="E26" s="39"/>
      <c r="F26" s="39"/>
      <c r="G26" s="39"/>
      <c r="H26" s="39"/>
      <c r="I26" s="39"/>
      <c r="J26" s="39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4.25" customHeight="1" x14ac:dyDescent="0.2">
      <c r="A27" s="330" t="s">
        <v>140</v>
      </c>
      <c r="B27" s="285"/>
      <c r="C27" s="1"/>
      <c r="D27" s="1"/>
      <c r="E27" s="1"/>
      <c r="F27" s="1"/>
      <c r="G27" s="1"/>
      <c r="H27" s="1"/>
      <c r="I27" s="1"/>
      <c r="J27" s="1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4.25" customHeight="1" x14ac:dyDescent="0.2">
      <c r="A28" s="326" t="s">
        <v>141</v>
      </c>
      <c r="B28" s="321" t="s">
        <v>142</v>
      </c>
      <c r="C28" s="321" t="s">
        <v>143</v>
      </c>
      <c r="D28" s="321" t="s">
        <v>144</v>
      </c>
      <c r="E28" s="321" t="s">
        <v>145</v>
      </c>
      <c r="F28" s="321" t="s">
        <v>146</v>
      </c>
      <c r="G28" s="321" t="s">
        <v>147</v>
      </c>
      <c r="H28" s="321" t="s">
        <v>110</v>
      </c>
      <c r="I28" s="322"/>
      <c r="J28" s="323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4.25" customHeight="1" x14ac:dyDescent="0.2">
      <c r="A29" s="331"/>
      <c r="B29" s="324"/>
      <c r="C29" s="324"/>
      <c r="D29" s="324"/>
      <c r="E29" s="324"/>
      <c r="F29" s="324"/>
      <c r="G29" s="324"/>
      <c r="H29" s="324"/>
      <c r="I29" s="289"/>
      <c r="J29" s="325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4.25" customHeight="1" x14ac:dyDescent="0.2">
      <c r="A30" s="39" t="s">
        <v>148</v>
      </c>
      <c r="B30" s="39"/>
      <c r="C30" s="39"/>
      <c r="D30" s="39"/>
      <c r="E30" s="39"/>
      <c r="F30" s="39"/>
      <c r="G30" s="39"/>
      <c r="H30" s="319"/>
      <c r="I30" s="316"/>
      <c r="J30" s="320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4.25" customHeight="1" x14ac:dyDescent="0.2">
      <c r="A31" s="39" t="s">
        <v>149</v>
      </c>
      <c r="B31" s="39"/>
      <c r="C31" s="39"/>
      <c r="D31" s="39"/>
      <c r="E31" s="39"/>
      <c r="F31" s="39"/>
      <c r="G31" s="39"/>
      <c r="H31" s="319"/>
      <c r="I31" s="316"/>
      <c r="J31" s="320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4.25" customHeight="1" x14ac:dyDescent="0.2">
      <c r="A32" s="39" t="s">
        <v>150</v>
      </c>
      <c r="B32" s="89"/>
      <c r="C32" s="89"/>
      <c r="D32" s="89"/>
      <c r="E32" s="89"/>
      <c r="F32" s="39"/>
      <c r="G32" s="39"/>
      <c r="H32" s="319"/>
      <c r="I32" s="316"/>
      <c r="J32" s="320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4.25" customHeight="1" x14ac:dyDescent="0.2">
      <c r="A33" s="39" t="s">
        <v>151</v>
      </c>
      <c r="B33" s="89"/>
      <c r="C33" s="89"/>
      <c r="D33" s="89"/>
      <c r="E33" s="89"/>
      <c r="F33" s="39"/>
      <c r="G33" s="39"/>
      <c r="H33" s="319"/>
      <c r="I33" s="316"/>
      <c r="J33" s="320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4.2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4.25" customHeight="1" x14ac:dyDescent="0.2">
      <c r="A35" s="81" t="s">
        <v>152</v>
      </c>
      <c r="B35" s="329" t="s">
        <v>153</v>
      </c>
      <c r="C35" s="289"/>
      <c r="D35" s="289"/>
      <c r="E35" s="1"/>
      <c r="F35" s="1"/>
      <c r="G35" s="1"/>
      <c r="H35" s="1"/>
      <c r="I35" s="1"/>
      <c r="J35" s="1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4.25" customHeight="1" x14ac:dyDescent="0.2">
      <c r="A36" s="43"/>
      <c r="B36" s="39" t="s">
        <v>154</v>
      </c>
      <c r="C36" s="39" t="s">
        <v>155</v>
      </c>
      <c r="D36" s="39" t="s">
        <v>156</v>
      </c>
      <c r="E36" s="39" t="s">
        <v>157</v>
      </c>
      <c r="F36" s="39" t="s">
        <v>158</v>
      </c>
      <c r="G36" s="39" t="s">
        <v>159</v>
      </c>
      <c r="H36" s="39" t="s">
        <v>160</v>
      </c>
      <c r="I36" s="39" t="s">
        <v>161</v>
      </c>
      <c r="J36" s="39" t="s">
        <v>159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4.25" customHeight="1" x14ac:dyDescent="0.2">
      <c r="A37" s="39" t="s">
        <v>16</v>
      </c>
      <c r="B37" s="39"/>
      <c r="C37" s="39"/>
      <c r="D37" s="39"/>
      <c r="E37" s="39"/>
      <c r="F37" s="39"/>
      <c r="G37" s="39"/>
      <c r="H37" s="39"/>
      <c r="I37" s="39"/>
      <c r="J37" s="39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4.25" customHeight="1" x14ac:dyDescent="0.2">
      <c r="A38" s="1"/>
      <c r="B38" s="1"/>
      <c r="C38" s="1"/>
      <c r="D38" s="1"/>
      <c r="E38" s="1"/>
      <c r="F38" s="1"/>
      <c r="G38" s="1"/>
      <c r="H38" s="1"/>
      <c r="I38" s="93" t="s">
        <v>162</v>
      </c>
      <c r="J38" s="1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4.25" customHeight="1" x14ac:dyDescent="0.2">
      <c r="A39" s="21" t="s">
        <v>163</v>
      </c>
      <c r="B39" s="21"/>
      <c r="C39" s="21"/>
      <c r="D39" s="21"/>
      <c r="E39" s="21"/>
      <c r="F39" s="1"/>
      <c r="G39" s="1"/>
      <c r="H39" s="1"/>
      <c r="I39" s="1"/>
      <c r="J39" s="1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4.25" customHeight="1" x14ac:dyDescent="0.2">
      <c r="A40" s="12"/>
      <c r="B40" s="12"/>
      <c r="C40" s="1"/>
      <c r="D40" s="1"/>
      <c r="E40" s="1"/>
      <c r="F40" s="1"/>
      <c r="G40" s="85"/>
      <c r="H40" s="1"/>
      <c r="I40" s="1"/>
      <c r="J40" s="1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4.25" customHeight="1" x14ac:dyDescent="0.2">
      <c r="A41" s="8" t="s">
        <v>164</v>
      </c>
      <c r="B41" s="1"/>
      <c r="C41" s="1"/>
      <c r="D41" s="8"/>
      <c r="E41" s="1"/>
      <c r="F41" s="1"/>
      <c r="G41" s="85"/>
      <c r="H41" s="1"/>
      <c r="I41" s="1"/>
      <c r="J41" s="1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4.25" customHeight="1" x14ac:dyDescent="0.2">
      <c r="A42" s="1" t="s">
        <v>165</v>
      </c>
      <c r="B42" s="1"/>
      <c r="C42" s="1"/>
      <c r="D42" s="1"/>
      <c r="E42" s="1"/>
      <c r="F42" s="1"/>
      <c r="G42" s="85"/>
      <c r="H42" s="1"/>
      <c r="I42" s="1"/>
      <c r="J42" s="1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4.25" customHeight="1" x14ac:dyDescent="0.2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4.25" customHeight="1" x14ac:dyDescent="0.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4.25" customHeight="1" x14ac:dyDescent="0.2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4.25" customHeight="1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4.25" customHeight="1" x14ac:dyDescent="0.2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4.25" customHeight="1" x14ac:dyDescent="0.2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4.25" customHeight="1" x14ac:dyDescent="0.2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4.25" customHeight="1" x14ac:dyDescent="0.2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4.25" customHeight="1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4.25" customHeight="1" x14ac:dyDescent="0.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4.25" customHeight="1" x14ac:dyDescent="0.2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4.25" customHeight="1" x14ac:dyDescent="0.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4.25" customHeight="1" x14ac:dyDescent="0.2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4.25" customHeight="1" x14ac:dyDescent="0.2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4.25" customHeight="1" x14ac:dyDescent="0.2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4.25" customHeight="1" x14ac:dyDescent="0.2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4.25" customHeight="1" x14ac:dyDescent="0.2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4.25" customHeight="1" x14ac:dyDescent="0.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4.25" customHeight="1" x14ac:dyDescent="0.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4.25" customHeight="1" x14ac:dyDescent="0.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4.25" customHeight="1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4.25" customHeight="1" x14ac:dyDescent="0.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4.25" customHeight="1" x14ac:dyDescent="0.2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4.25" customHeight="1" x14ac:dyDescent="0.2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4.25" customHeight="1" x14ac:dyDescent="0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4.25" customHeight="1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4.25" customHeight="1" x14ac:dyDescent="0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4.25" customHeight="1" x14ac:dyDescent="0.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4.25" customHeight="1" x14ac:dyDescent="0.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4.25" customHeight="1" x14ac:dyDescent="0.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4.25" customHeight="1" x14ac:dyDescent="0.2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4.25" customHeight="1" x14ac:dyDescent="0.2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4.25" customHeight="1" x14ac:dyDescent="0.2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4.25" customHeight="1" x14ac:dyDescent="0.2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4.25" customHeight="1" x14ac:dyDescent="0.2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4.25" customHeight="1" x14ac:dyDescent="0.2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4.25" customHeight="1" x14ac:dyDescent="0.2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4.25" customHeight="1" x14ac:dyDescent="0.2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4.25" customHeight="1" x14ac:dyDescent="0.2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4.25" customHeight="1" x14ac:dyDescent="0.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4.25" customHeight="1" x14ac:dyDescent="0.2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4.25" customHeight="1" x14ac:dyDescent="0.2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4.25" customHeight="1" x14ac:dyDescent="0.2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4.25" customHeight="1" x14ac:dyDescent="0.2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4.25" customHeight="1" x14ac:dyDescent="0.2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4.25" customHeight="1" x14ac:dyDescent="0.2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4.25" customHeight="1" x14ac:dyDescent="0.2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4.25" customHeight="1" x14ac:dyDescent="0.2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4.25" customHeight="1" x14ac:dyDescent="0.2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4.25" customHeight="1" x14ac:dyDescent="0.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4.25" customHeight="1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4.25" customHeight="1" x14ac:dyDescent="0.2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4.25" customHeight="1" x14ac:dyDescent="0.2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4.25" customHeight="1" x14ac:dyDescent="0.2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4.25" customHeight="1" x14ac:dyDescent="0.2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4.25" customHeight="1" x14ac:dyDescent="0.2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4.25" customHeight="1" x14ac:dyDescent="0.2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4.25" customHeight="1" x14ac:dyDescent="0.2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4.25" customHeight="1" x14ac:dyDescent="0.2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4.25" customHeight="1" x14ac:dyDescent="0.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4.25" customHeight="1" x14ac:dyDescent="0.2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4.25" customHeight="1" x14ac:dyDescent="0.2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4.25" customHeight="1" x14ac:dyDescent="0.2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4.25" customHeight="1" x14ac:dyDescent="0.2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4.25" customHeight="1" x14ac:dyDescent="0.2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4.25" customHeight="1" x14ac:dyDescent="0.2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4.25" customHeight="1" x14ac:dyDescent="0.2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4.25" customHeight="1" x14ac:dyDescent="0.2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4.25" customHeight="1" x14ac:dyDescent="0.2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4.25" customHeight="1" x14ac:dyDescent="0.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4.25" customHeight="1" x14ac:dyDescent="0.2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4.25" customHeight="1" x14ac:dyDescent="0.2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4.25" customHeight="1" x14ac:dyDescent="0.2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4.25" customHeight="1" x14ac:dyDescent="0.2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4.25" customHeight="1" x14ac:dyDescent="0.2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4.25" customHeight="1" x14ac:dyDescent="0.2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4.25" customHeight="1" x14ac:dyDescent="0.2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4.25" customHeight="1" x14ac:dyDescent="0.2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4.25" customHeight="1" x14ac:dyDescent="0.2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4.25" customHeight="1" x14ac:dyDescent="0.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4.25" customHeight="1" x14ac:dyDescent="0.2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4.25" customHeight="1" x14ac:dyDescent="0.2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4.25" customHeight="1" x14ac:dyDescent="0.2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4.25" customHeight="1" x14ac:dyDescent="0.2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4.25" customHeight="1" x14ac:dyDescent="0.2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4.25" customHeight="1" x14ac:dyDescent="0.2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4.25" customHeight="1" x14ac:dyDescent="0.2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4.25" customHeight="1" x14ac:dyDescent="0.2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4.25" customHeight="1" x14ac:dyDescent="0.2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4.25" customHeight="1" x14ac:dyDescent="0.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4.25" customHeight="1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4.25" customHeight="1" x14ac:dyDescent="0.2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4.25" customHeight="1" x14ac:dyDescent="0.2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4.25" customHeight="1" x14ac:dyDescent="0.2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4.25" customHeight="1" x14ac:dyDescent="0.2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4.25" customHeight="1" x14ac:dyDescent="0.2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4.25" customHeight="1" x14ac:dyDescent="0.2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4.25" customHeight="1" x14ac:dyDescent="0.2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4.25" customHeight="1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4.25" customHeight="1" x14ac:dyDescent="0.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4.25" customHeight="1" x14ac:dyDescent="0.2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4.25" customHeight="1" x14ac:dyDescent="0.2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4.25" customHeight="1" x14ac:dyDescent="0.2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4.25" customHeight="1" x14ac:dyDescent="0.2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4.25" customHeight="1" x14ac:dyDescent="0.2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4.25" customHeight="1" x14ac:dyDescent="0.2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4.25" customHeight="1" x14ac:dyDescent="0.2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4.25" customHeight="1" x14ac:dyDescent="0.2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4.25" customHeight="1" x14ac:dyDescent="0.2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4.25" customHeight="1" x14ac:dyDescent="0.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4.25" customHeight="1" x14ac:dyDescent="0.2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4.25" customHeight="1" x14ac:dyDescent="0.2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4.25" customHeight="1" x14ac:dyDescent="0.2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4.25" customHeight="1" x14ac:dyDescent="0.2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4.25" customHeight="1" x14ac:dyDescent="0.2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4.25" customHeight="1" x14ac:dyDescent="0.2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4.25" customHeight="1" x14ac:dyDescent="0.2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4.25" customHeight="1" x14ac:dyDescent="0.2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4.25" customHeight="1" x14ac:dyDescent="0.2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4.25" customHeight="1" x14ac:dyDescent="0.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4.25" customHeight="1" x14ac:dyDescent="0.2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4.25" customHeight="1" x14ac:dyDescent="0.2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4.25" customHeight="1" x14ac:dyDescent="0.2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4.25" customHeight="1" x14ac:dyDescent="0.2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4.25" customHeight="1" x14ac:dyDescent="0.2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4.25" customHeight="1" x14ac:dyDescent="0.2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4.25" customHeight="1" x14ac:dyDescent="0.2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4.25" customHeight="1" x14ac:dyDescent="0.2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4.25" customHeight="1" x14ac:dyDescent="0.2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4.25" customHeight="1" x14ac:dyDescent="0.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4.25" customHeight="1" x14ac:dyDescent="0.2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4.25" customHeight="1" x14ac:dyDescent="0.2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4.25" customHeight="1" x14ac:dyDescent="0.2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4.25" customHeight="1" x14ac:dyDescent="0.2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4.25" customHeight="1" x14ac:dyDescent="0.2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4.25" customHeight="1" x14ac:dyDescent="0.2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4.25" customHeight="1" x14ac:dyDescent="0.2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4.25" customHeight="1" x14ac:dyDescent="0.2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4.25" customHeight="1" x14ac:dyDescent="0.2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4.25" customHeight="1" x14ac:dyDescent="0.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4.25" customHeight="1" x14ac:dyDescent="0.2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4.25" customHeight="1" x14ac:dyDescent="0.2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4.25" customHeight="1" x14ac:dyDescent="0.2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4.25" customHeight="1" x14ac:dyDescent="0.2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4.25" customHeight="1" x14ac:dyDescent="0.2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4.25" customHeight="1" x14ac:dyDescent="0.2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4.25" customHeight="1" x14ac:dyDescent="0.2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4.25" customHeight="1" x14ac:dyDescent="0.2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4.25" customHeight="1" x14ac:dyDescent="0.2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4.25" customHeight="1" x14ac:dyDescent="0.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4.25" customHeight="1" x14ac:dyDescent="0.2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4.25" customHeight="1" x14ac:dyDescent="0.2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4.25" customHeight="1" x14ac:dyDescent="0.2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4.25" customHeight="1" x14ac:dyDescent="0.2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4.25" customHeight="1" x14ac:dyDescent="0.2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4.25" customHeight="1" x14ac:dyDescent="0.2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4.25" customHeight="1" x14ac:dyDescent="0.2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4.25" customHeight="1" x14ac:dyDescent="0.2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4.25" customHeight="1" x14ac:dyDescent="0.2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4.25" customHeight="1" x14ac:dyDescent="0.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4.25" customHeight="1" x14ac:dyDescent="0.2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4.25" customHeight="1" x14ac:dyDescent="0.2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4.25" customHeight="1" x14ac:dyDescent="0.2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4.25" customHeight="1" x14ac:dyDescent="0.2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4.25" customHeight="1" x14ac:dyDescent="0.2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4.25" customHeight="1" x14ac:dyDescent="0.2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4.25" customHeight="1" x14ac:dyDescent="0.2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4.25" customHeight="1" x14ac:dyDescent="0.2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4.25" customHeight="1" x14ac:dyDescent="0.2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4.25" customHeight="1" x14ac:dyDescent="0.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4.25" customHeight="1" x14ac:dyDescent="0.2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4.25" customHeight="1" x14ac:dyDescent="0.2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4.25" customHeight="1" x14ac:dyDescent="0.2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4.25" customHeight="1" x14ac:dyDescent="0.2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4.25" customHeight="1" x14ac:dyDescent="0.2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4.25" customHeight="1" x14ac:dyDescent="0.2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4.25" customHeight="1" x14ac:dyDescent="0.2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4.25" customHeight="1" x14ac:dyDescent="0.2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4.25" customHeight="1" x14ac:dyDescent="0.2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4.25" customHeight="1" x14ac:dyDescent="0.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4.25" customHeight="1" x14ac:dyDescent="0.2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4.25" customHeight="1" x14ac:dyDescent="0.2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4.25" customHeight="1" x14ac:dyDescent="0.2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4.25" customHeight="1" x14ac:dyDescent="0.2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4.25" customHeight="1" x14ac:dyDescent="0.2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4.25" customHeight="1" x14ac:dyDescent="0.2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4.25" customHeight="1" x14ac:dyDescent="0.2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4.25" customHeight="1" x14ac:dyDescent="0.2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4.25" customHeight="1" x14ac:dyDescent="0.2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4.25" customHeight="1" x14ac:dyDescent="0.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4.25" customHeight="1" x14ac:dyDescent="0.2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4.25" customHeight="1" x14ac:dyDescent="0.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4.25" customHeight="1" x14ac:dyDescent="0.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4.25" customHeight="1" x14ac:dyDescent="0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4.25" customHeight="1" x14ac:dyDescent="0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4.25" customHeight="1" x14ac:dyDescent="0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4.25" customHeight="1" x14ac:dyDescent="0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4.25" customHeight="1" x14ac:dyDescent="0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4.25" customHeight="1" x14ac:dyDescent="0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4.25" customHeight="1" x14ac:dyDescent="0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4.25" customHeight="1" x14ac:dyDescent="0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4.25" customHeight="1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4.25" customHeight="1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4.25" customHeight="1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4.25" customHeight="1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4.2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4.2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4.2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4.2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4.2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4.2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4.2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4.2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4.2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4.2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4.2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4.2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4.2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4.2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4.2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4.2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4.2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4.2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4.2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4.2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4.2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4.2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4.2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4.2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4.2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4.2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4.2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4.2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4.2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4.2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4.2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4.2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4.2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4.2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4.2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4.2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4.2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4.2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4.2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4.2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4.2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4.2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4.2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4.2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4.2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4.2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4.2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4.2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4.2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4.2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4.2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4.2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4.2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4.2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4.2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4.2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4.2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4.2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4.2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4.2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4.2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4.2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4.2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4.2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4.2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4.2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4.2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4.2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4.2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4.2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4.2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4.2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4.2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4.2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4.2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4.2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4.2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4.2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4.2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4.2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4.2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4.2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4.2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4.2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4.2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4.2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4.2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4.2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4.2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4.2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4.2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4.2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4.2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4.2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4.2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4.2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4.2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4.2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4.2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4.2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4.2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4.2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4.2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4.2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4.2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4.2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4.2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4.2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4.2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4.2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4.2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4.2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4.2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4.2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4.2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4.2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4.2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4.2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4.2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4.2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4.2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4.2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4.2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4.2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4.2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4.2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4.2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4.2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4.2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4.2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4.2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4.2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4.2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4.2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4.2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4.2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4.2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4.2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4.2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4.2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4.2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4.2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4.2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4.2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4.2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4.2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4.2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4.2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4.2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4.2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4.2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4.2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4.2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4.2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4.2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4.2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4.2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4.2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4.2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4.2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4.2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4.2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4.2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4.2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4.2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4.2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4.2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4.2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4.2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4.2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4.2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4.2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4.2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4.2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4.2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4.2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4.2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4.2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4.2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4.2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4.2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4.2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4.2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4.2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4.2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4.2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4.2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4.2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4.2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4.2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4.2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4.2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4.2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4.2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4.2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4.2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4.2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4.2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4.2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4.2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4.2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4.2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4.2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4.2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4.2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4.2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4.2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4.2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4.2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4.2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4.2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4.2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4.2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4.2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4.2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4.2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4.2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4.2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4.2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4.2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4.2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4.2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4.2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4.2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4.2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4.2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4.2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4.2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4.2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4.2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4.2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4.2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4.2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4.2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4.2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4.2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4.2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4.2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4.2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4.2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4.2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4.2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4.2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4.2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4.2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4.2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4.2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4.2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4.2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4.2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4.2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4.2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4.2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4.2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4.2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4.2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4.2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4.2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4.2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4.2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4.2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4.2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4.2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4.2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4.2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4.2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4.2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4.2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4.2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4.2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4.2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4.2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4.2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4.2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4.2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4.2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4.2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4.2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4.2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4.2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4.2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4.2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4.2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4.2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4.2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4.2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4.2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4.2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4.2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4.2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4.2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4.2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4.2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4.2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4.2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4.2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4.2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4.2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4.2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4.2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4.2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4.2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4.2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4.2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4.2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4.2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4.2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4.2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4.2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4.2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4.2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4.2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4.2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4.2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4.2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4.2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4.2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4.2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4.2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4.2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4.2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4.2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4.2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4.2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4.2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4.2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4.2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4.2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4.2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4.2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4.2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4.2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4.2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4.2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4.2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4.2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4.2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4.2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4.2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4.2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4.2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4.2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4.2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4.2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4.2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4.2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4.2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4.2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4.2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4.2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4.2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4.2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4.2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4.2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4.2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4.2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4.2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4.2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4.2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4.2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4.2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4.2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4.2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4.2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4.2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4.2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4.2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4.2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4.2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4.2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4.2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4.2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4.2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4.2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4.2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4.2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4.2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4.2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4.2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4.2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4.2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4.2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4.2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4.2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4.2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4.2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4.2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4.2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4.2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4.2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4.2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4.2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4.2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4.2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4.2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4.2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4.2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4.2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4.2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4.2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4.2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4.2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4.2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4.2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4.2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4.2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4.2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4.2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4.2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4.2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4.2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4.2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4.2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4.2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4.2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4.2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4.2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4.2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4.2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4.2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4.2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4.2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4.2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4.2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4.2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4.2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4.2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4.2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4.2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4.2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4.2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4.2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4.2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4.2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4.2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4.2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4.2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4.2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4.2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4.2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4.2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4.2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4.2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4.2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4.2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4.2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4.2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4.2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4.2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4.2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4.2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4.2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4.2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4.2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4.2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4.2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4.2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4.2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4.2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4.2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4.2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4.2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4.2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4.2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4.2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4.2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4.2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4.2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4.2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4.2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4.2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4.2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4.2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4.2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4.2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4.2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4.2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4.2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4.2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4.2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4.2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4.2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4.2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4.2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4.2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4.2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4.2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4.2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4.2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4.2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4.2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4.2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4.2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4.2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4.2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4.2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4.2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4.2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4.2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4.2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4.2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4.2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4.2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4.2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4.2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4.2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4.2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4.2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4.2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4.2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4.2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4.2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4.2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4.2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4.2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4.2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4.2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4.2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4.2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4.2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4.2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4.2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4.2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4.2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4.2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4.2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4.2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4.2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4.2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4.2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4.2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4.2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4.2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4.2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4.2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4.2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4.2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4.2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4.2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4.2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4.2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4.2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4.2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4.2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4.2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4.2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4.2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4.2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4.2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4.2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4.2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4.2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4.2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4.2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4.2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4.2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4.2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4.2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4.2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4.2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4.2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4.2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4.2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4.2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4.2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4.2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4.2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4.2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4.2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4.2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4.2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4.2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4.2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4.2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4.2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4.2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4.2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4.2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4.2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4.2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4.2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4.2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4.2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4.2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4.2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4.2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4.2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4.2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4.2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4.2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4.2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4.2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4.2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4.2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4.2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4.2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4.2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4.2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4.2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4.2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4.2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4.2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4.2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4.2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4.2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4.2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4.2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4.2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4.2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4.2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4.2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4.2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4.2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4.2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4.2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4.2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4.2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4.2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4.2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4.2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4.2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4.2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4.2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4.2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4.2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4.2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4.2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4.2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4.2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4.2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4.2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4.2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4.2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4.2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4.2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4.2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4.2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4.2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4.2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4.2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4.2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4.2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4.2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4.2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4.2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4.2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4.2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4.2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4.2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4.2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4.2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4.2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4.2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4.2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4.2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4.2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4.2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4.2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4.2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4.2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4.2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4.2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4.2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4.2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4.2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4.2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4.2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4.2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4.2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4.2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4.2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4.2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4.2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4.2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4.2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4.2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4.2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4.2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4.2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4.2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4.2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4.2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4.2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4.2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4.2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4.2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4.2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4.2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4.2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4.2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4.2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4.2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4.2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4.2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4.2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4.2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4.2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4.2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4.2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4.2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4.2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4.2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4.2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4.2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4.2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4.2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4.2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4.2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4.2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4.2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4.2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4.2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4.2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4.2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4.2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4.2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4.2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4.2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4.2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4.2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4.2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4.2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4.2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4.2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4.2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4.2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4.2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4.2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4.2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4.2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4.2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4.2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4.2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4.2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4.2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4.25" customHeight="1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4.25" customHeight="1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4.25" customHeight="1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4.25" customHeight="1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4.25" customHeight="1" x14ac:dyDescent="0.2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4.25" customHeight="1" x14ac:dyDescent="0.2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4.25" customHeight="1" x14ac:dyDescent="0.2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4.25" customHeight="1" x14ac:dyDescent="0.2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4.25" customHeight="1" x14ac:dyDescent="0.2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4.25" customHeight="1" x14ac:dyDescent="0.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4.25" customHeight="1" x14ac:dyDescent="0.2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4.25" customHeight="1" x14ac:dyDescent="0.2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4.25" customHeight="1" x14ac:dyDescent="0.2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4.25" customHeight="1" x14ac:dyDescent="0.2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4.25" customHeight="1" x14ac:dyDescent="0.2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4.25" customHeight="1" x14ac:dyDescent="0.2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4.25" customHeight="1" x14ac:dyDescent="0.2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4.25" customHeight="1" x14ac:dyDescent="0.2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31">
    <mergeCell ref="B35:D35"/>
    <mergeCell ref="H32:J32"/>
    <mergeCell ref="H33:J33"/>
    <mergeCell ref="A21:A22"/>
    <mergeCell ref="A27:B27"/>
    <mergeCell ref="A28:A29"/>
    <mergeCell ref="B28:B29"/>
    <mergeCell ref="C28:C29"/>
    <mergeCell ref="D28:D29"/>
    <mergeCell ref="E28:E29"/>
    <mergeCell ref="F28:F29"/>
    <mergeCell ref="G28:G29"/>
    <mergeCell ref="H28:J29"/>
    <mergeCell ref="H30:J30"/>
    <mergeCell ref="H31:J31"/>
    <mergeCell ref="H7:J7"/>
    <mergeCell ref="H11:J11"/>
    <mergeCell ref="F15:J15"/>
    <mergeCell ref="A5:A6"/>
    <mergeCell ref="A9:A10"/>
    <mergeCell ref="B9:C9"/>
    <mergeCell ref="D9:E9"/>
    <mergeCell ref="F9:G9"/>
    <mergeCell ref="H9:J10"/>
    <mergeCell ref="A13:E13"/>
    <mergeCell ref="A1:J1"/>
    <mergeCell ref="A2:J2"/>
    <mergeCell ref="B5:C5"/>
    <mergeCell ref="D5:E5"/>
    <mergeCell ref="F5:G5"/>
    <mergeCell ref="H5:J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7F9CE-05A3-457B-AD47-8049E88F5D3E}">
  <dimension ref="E15:U21"/>
  <sheetViews>
    <sheetView workbookViewId="0">
      <selection activeCell="L15" sqref="L15"/>
    </sheetView>
  </sheetViews>
  <sheetFormatPr defaultRowHeight="14.25" x14ac:dyDescent="0.2"/>
  <sheetData>
    <row r="15" spans="5:21" ht="15" thickBot="1" x14ac:dyDescent="0.25"/>
    <row r="16" spans="5:21" ht="21" x14ac:dyDescent="0.3">
      <c r="E16" s="121" t="s">
        <v>20</v>
      </c>
      <c r="F16" s="149" t="s">
        <v>170</v>
      </c>
      <c r="G16" s="332">
        <v>45824</v>
      </c>
      <c r="H16" s="333"/>
      <c r="I16" s="122">
        <f>43*N12</f>
        <v>0</v>
      </c>
      <c r="J16" s="123" t="s">
        <v>21</v>
      </c>
      <c r="K16" s="124"/>
      <c r="L16" s="125"/>
      <c r="M16" s="19" t="e">
        <f t="shared" ref="M16:M21" si="0">(I16/$J$5)</f>
        <v>#DIV/0!</v>
      </c>
      <c r="N16" s="137" t="s">
        <v>35</v>
      </c>
      <c r="O16" s="154" t="s">
        <v>174</v>
      </c>
      <c r="P16" s="334">
        <v>45825</v>
      </c>
      <c r="Q16" s="335"/>
      <c r="R16" s="138">
        <f>14.3*N12</f>
        <v>0</v>
      </c>
      <c r="S16" s="139" t="s">
        <v>21</v>
      </c>
      <c r="T16" s="140"/>
      <c r="U16" s="141"/>
    </row>
    <row r="17" spans="5:21" ht="21" x14ac:dyDescent="0.3">
      <c r="E17" s="126" t="s">
        <v>169</v>
      </c>
      <c r="F17" s="150" t="s">
        <v>171</v>
      </c>
      <c r="G17" s="336"/>
      <c r="H17" s="337"/>
      <c r="I17" s="100">
        <f>36*N12</f>
        <v>0</v>
      </c>
      <c r="J17" s="97" t="s">
        <v>21</v>
      </c>
      <c r="K17" s="98"/>
      <c r="L17" s="127"/>
      <c r="M17" s="19" t="e">
        <f t="shared" si="0"/>
        <v>#DIV/0!</v>
      </c>
      <c r="N17" s="142" t="s">
        <v>36</v>
      </c>
      <c r="O17" s="155" t="s">
        <v>175</v>
      </c>
      <c r="P17" s="221">
        <v>45826</v>
      </c>
      <c r="Q17" s="338"/>
      <c r="R17" s="134">
        <f>7.2*N12</f>
        <v>0</v>
      </c>
      <c r="S17" s="135" t="s">
        <v>21</v>
      </c>
      <c r="T17" s="136"/>
      <c r="U17" s="143"/>
    </row>
    <row r="18" spans="5:21" ht="21" x14ac:dyDescent="0.3">
      <c r="E18" s="126" t="s">
        <v>26</v>
      </c>
      <c r="F18" s="150" t="s">
        <v>181</v>
      </c>
      <c r="G18" s="336">
        <v>45826</v>
      </c>
      <c r="H18" s="337"/>
      <c r="I18" s="100">
        <f>30*N12</f>
        <v>0</v>
      </c>
      <c r="J18" s="97" t="s">
        <v>21</v>
      </c>
      <c r="K18" s="98"/>
      <c r="L18" s="127"/>
      <c r="M18" s="19" t="e">
        <f t="shared" si="0"/>
        <v>#DIV/0!</v>
      </c>
      <c r="N18" s="142" t="s">
        <v>22</v>
      </c>
      <c r="O18" s="155" t="s">
        <v>176</v>
      </c>
      <c r="P18" s="221">
        <v>45826</v>
      </c>
      <c r="Q18" s="339"/>
      <c r="R18" s="134">
        <f>6.9*N12</f>
        <v>0</v>
      </c>
      <c r="S18" s="135" t="s">
        <v>21</v>
      </c>
      <c r="T18" s="136"/>
      <c r="U18" s="143"/>
    </row>
    <row r="19" spans="5:21" ht="21" x14ac:dyDescent="0.3">
      <c r="E19" s="126" t="s">
        <v>30</v>
      </c>
      <c r="F19" s="150" t="s">
        <v>27</v>
      </c>
      <c r="G19" s="336">
        <v>45821</v>
      </c>
      <c r="H19" s="337"/>
      <c r="I19" s="100">
        <f>28.5*N12</f>
        <v>0</v>
      </c>
      <c r="J19" s="97" t="s">
        <v>21</v>
      </c>
      <c r="K19" s="98"/>
      <c r="L19" s="127"/>
      <c r="M19" s="19" t="e">
        <f t="shared" si="0"/>
        <v>#DIV/0!</v>
      </c>
      <c r="N19" s="142" t="s">
        <v>24</v>
      </c>
      <c r="O19" s="155" t="s">
        <v>177</v>
      </c>
      <c r="P19" s="340">
        <v>45826</v>
      </c>
      <c r="Q19" s="338"/>
      <c r="R19" s="134">
        <f>5.25*N12</f>
        <v>0</v>
      </c>
      <c r="S19" s="135" t="s">
        <v>21</v>
      </c>
      <c r="T19" s="136"/>
      <c r="U19" s="143"/>
    </row>
    <row r="20" spans="5:21" ht="21" x14ac:dyDescent="0.3">
      <c r="E20" s="126" t="s">
        <v>32</v>
      </c>
      <c r="F20" s="150" t="s">
        <v>172</v>
      </c>
      <c r="G20" s="336">
        <v>45820</v>
      </c>
      <c r="H20" s="337"/>
      <c r="I20" s="100">
        <f>28.5*N12</f>
        <v>0</v>
      </c>
      <c r="J20" s="97" t="s">
        <v>21</v>
      </c>
      <c r="K20" s="98"/>
      <c r="L20" s="127"/>
      <c r="M20" s="19" t="e">
        <f t="shared" si="0"/>
        <v>#DIV/0!</v>
      </c>
      <c r="N20" s="142" t="s">
        <v>166</v>
      </c>
      <c r="O20" s="155" t="s">
        <v>178</v>
      </c>
      <c r="P20" s="221">
        <v>45825</v>
      </c>
      <c r="Q20" s="338"/>
      <c r="R20" s="134">
        <f>5*N12</f>
        <v>0</v>
      </c>
      <c r="S20" s="135" t="s">
        <v>21</v>
      </c>
      <c r="T20" s="136"/>
      <c r="U20" s="143"/>
    </row>
    <row r="21" spans="5:21" ht="21.75" thickBot="1" x14ac:dyDescent="0.35">
      <c r="E21" s="128" t="s">
        <v>34</v>
      </c>
      <c r="F21" s="151" t="s">
        <v>173</v>
      </c>
      <c r="G21" s="341">
        <v>45787</v>
      </c>
      <c r="H21" s="342"/>
      <c r="I21" s="129">
        <f>18.3*N12</f>
        <v>0</v>
      </c>
      <c r="J21" s="130" t="s">
        <v>21</v>
      </c>
      <c r="K21" s="131"/>
      <c r="L21" s="132"/>
      <c r="M21" s="19" t="e">
        <f t="shared" si="0"/>
        <v>#DIV/0!</v>
      </c>
      <c r="N21" s="144" t="s">
        <v>167</v>
      </c>
      <c r="O21" s="156" t="s">
        <v>179</v>
      </c>
      <c r="P21" s="343">
        <v>45741</v>
      </c>
      <c r="Q21" s="344"/>
      <c r="R21" s="145">
        <f>0.3*N12</f>
        <v>0</v>
      </c>
      <c r="S21" s="146" t="s">
        <v>21</v>
      </c>
      <c r="T21" s="147"/>
      <c r="U21" s="148"/>
    </row>
  </sheetData>
  <mergeCells count="12">
    <mergeCell ref="G19:H19"/>
    <mergeCell ref="P19:Q19"/>
    <mergeCell ref="G20:H20"/>
    <mergeCell ref="P20:Q20"/>
    <mergeCell ref="G21:H21"/>
    <mergeCell ref="P21:Q21"/>
    <mergeCell ref="G16:H16"/>
    <mergeCell ref="P16:Q16"/>
    <mergeCell ref="G17:H17"/>
    <mergeCell ref="P17:Q17"/>
    <mergeCell ref="G18:H18"/>
    <mergeCell ref="P18:Q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CLS1K-OSDL</vt:lpstr>
      <vt:lpstr>CLS200DL</vt:lpstr>
      <vt:lpstr>Sheet2</vt:lpstr>
      <vt:lpstr>Sheet3</vt:lpstr>
      <vt:lpstr>'CLS1K-OSDL'!Print_Area</vt:lpstr>
      <vt:lpstr>CLS200DL!Print_Area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Production CAF</cp:lastModifiedBy>
  <cp:lastPrinted>2025-12-13T10:05:14Z</cp:lastPrinted>
  <dcterms:created xsi:type="dcterms:W3CDTF">2017-04-06T13:59:31Z</dcterms:created>
  <dcterms:modified xsi:type="dcterms:W3CDTF">2025-12-13T10:05:17Z</dcterms:modified>
</cp:coreProperties>
</file>